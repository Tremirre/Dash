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theme+xml" PartName="/xl/theme/theme1.xml"/>
  <Override ContentType="application/vnd.openxmlformats-officedocument.spreadsheetml.styles+xml" PartName="/xl/styles.xml"/>
  <Override ContentType="application/vnd.openxmlformats-officedocument.spreadsheetml.sharedStrings+xml" PartName="/xl/sharedStrings.xml"/>
  <Override ContentType="application/vnd.openxmlformats-package.core-properties+xml" PartName="/docProps/core.xml"/>
  <Override ContentType="application/vnd.openxmlformats-officedocument.extended-properties+xml" PartName="/docProps/app.xml"/>
</Types>
</file>

<file path=_rels/.rels><?xml version="1.0" encoding="UTF-8" standalone="yes"?><Relationships xmlns="http://schemas.openxmlformats.org/package/2006/relationships"><Relationship Target="docProps/app.xml" Type="http://schemas.openxmlformats.org/officeDocument/2006/relationships/extended-properties" Id="rId3"/><Relationship Target="docProps/core.xml" Type="http://schemas.openxmlformats.org/package/2006/relationships/metadata/core-properties" Id="rId2"/><Relationship Target="xl/workbook.xml" Type="http://schemas.openxmlformats.org/officeDocument/2006/relationships/officeDocument" Id="rId1"/></Relationships>
</file>

<file path=xl/workbook.xml><?xml version="1.0" encoding="utf-8"?>
<workbook xmlns="http://schemas.openxmlformats.org/spreadsheetml/2006/main" xmlns:r="http://schemas.openxmlformats.org/officeDocument/2006/relationships">
  <fileVersion rupBuild="9303" lowestEdited="5" lastEdited="5" appName="xl"/>
  <workbookPr/>
  <bookViews>
    <workbookView xWindow="480" yWindow="60" windowWidth="18195" windowHeight="8505" activeTab="0"/>
  </bookViews>
  <sheets>
    <sheet r:id="rId1" sheetId="1" name="assets"/>
    <sheet r:id="rId2" sheetId="2" name="META"/>
  </sheets>
  <calcPr fullCalcOnLoad="1"/>
</workbook>
</file>

<file path=xl/sharedStrings.xml><?xml version="1.0" encoding="utf-8"?>
<sst xmlns="http://schemas.openxmlformats.org/spreadsheetml/2006/main" count="705" uniqueCount="682">
  <si>
    <t>DATA</t>
  </si>
  <si>
    <t>UNIT</t>
  </si>
  <si>
    <t>SOURCE</t>
  </si>
  <si>
    <t>Authored by: Bartosz Stachowiak, Andrzej Kajdasz 24.05.2022</t>
  </si>
  <si>
    <t>cash_polish_currency</t>
  </si>
  <si>
    <t>PLN</t>
  </si>
  <si>
    <t>Everything given in I. under the first dash "środki pieniężne zgromadzone w walucie polskiej" summed to a single value</t>
  </si>
  <si>
    <t>cash_foreign_currency</t>
  </si>
  <si>
    <t>Everything given in I. under the second dash "środki pieniężne zgromadzone w walucie obcej" converted by current(24.05.2022) Google exchange rates summed to a single value</t>
  </si>
  <si>
    <t>Additional note: the data were gathered regardless of the title to and share of the property (e.g. items marked as "własność" and "własność współmałżeńska" have been treated in the same manner).  For areas we used the ones excluding any additional property (such as land on which the house stands), similarily for value, we treated house and the lot it sits on as separate properties (if there was a possibility to differentiate between them).</t>
  </si>
  <si>
    <t>securites_value</t>
  </si>
  <si>
    <t>PLN values given in I. under the third dash "papiery wartościowe" summed to a single value</t>
  </si>
  <si>
    <t>house_size</t>
  </si>
  <si>
    <t>M2</t>
  </si>
  <si>
    <t>Area of every house given in II. 1. or 4., separated by semicolons</t>
  </si>
  <si>
    <t>house_value</t>
  </si>
  <si>
    <t>Value of every house given in II. 1. or 4., separated by semicolons</t>
  </si>
  <si>
    <t>flat_size</t>
  </si>
  <si>
    <t>Area of every flat given in II. 2. or 4., separated by semicolons</t>
  </si>
  <si>
    <t>flat_value</t>
  </si>
  <si>
    <t>Value of every flat given in II. 2. or 4., separated by semicolons</t>
  </si>
  <si>
    <t>farm_estate_size</t>
  </si>
  <si>
    <t>HA</t>
  </si>
  <si>
    <t>Area of every farm estate given in II. 3. summed to a single value</t>
  </si>
  <si>
    <t>farm_estate_value</t>
  </si>
  <si>
    <t>Value of every farm estate given in II. 3. summed to a single value</t>
  </si>
  <si>
    <t>other_estates_value</t>
  </si>
  <si>
    <t>Summed value of every estate given in II. 4. that is not a house nor a flat</t>
  </si>
  <si>
    <t>other_shares_value</t>
  </si>
  <si>
    <t>Summed value of all shares given in IV. and V. if values in PLN were given and if these shares were not aleardy provided in I. under the third dash "papiery wartościowe"</t>
  </si>
  <si>
    <t>vehicles_count</t>
  </si>
  <si>
    <t>-</t>
  </si>
  <si>
    <t>Count of all non-farm land vehicles owner or partially owned by the representative, listed in X.</t>
  </si>
  <si>
    <t>loans_value</t>
  </si>
  <si>
    <t xml:space="preserve">Summed (and converted by current(24.05.2022) Google exchange rates if necessary) all financial commitments listed in XI. </t>
  </si>
  <si>
    <t>name</t>
  </si>
  <si>
    <t>Adamczyk Andrzej</t>
  </si>
  <si>
    <t>Adamczyk Rafał</t>
  </si>
  <si>
    <t>Adamowicz Piotr</t>
  </si>
  <si>
    <t>68;46</t>
  </si>
  <si>
    <t>400000;300000</t>
  </si>
  <si>
    <t>Ajchler Romuald</t>
  </si>
  <si>
    <t>Ajchler Zbigniew</t>
  </si>
  <si>
    <t>Andruszkiewicz Adam</t>
  </si>
  <si>
    <t>Andzel Waldemar</t>
  </si>
  <si>
    <t>Aniśko Tomasz</t>
  </si>
  <si>
    <t>Ardanowski Jan Krzysztof</t>
  </si>
  <si>
    <t>Arent Iwona</t>
  </si>
  <si>
    <t>Ast Marek</t>
  </si>
  <si>
    <t>Augustyn Urszula</t>
  </si>
  <si>
    <t>Aziewicz Tadeusz</t>
  </si>
  <si>
    <t>59;48</t>
  </si>
  <si>
    <t>250000;150000</t>
  </si>
  <si>
    <t>Babalski Zbigniew</t>
  </si>
  <si>
    <t>Babinetz Piotr</t>
  </si>
  <si>
    <t>Bartosik Ryszard</t>
  </si>
  <si>
    <t>Bartoszewski Władysław Teofil</t>
  </si>
  <si>
    <t>Bartuś Barbara</t>
  </si>
  <si>
    <t>Baszko Mieczysław</t>
  </si>
  <si>
    <t>Bąk Dariusz</t>
  </si>
  <si>
    <t>Bejda Paweł</t>
  </si>
  <si>
    <t>Berkowicz Konrad</t>
  </si>
  <si>
    <t>Biejat Magdalena</t>
  </si>
  <si>
    <t>Bielecki Jerzy</t>
  </si>
  <si>
    <t>Biernacki Marek</t>
  </si>
  <si>
    <t>Błaszczak Mariusz</t>
  </si>
  <si>
    <t>Bochenek Mateusz</t>
  </si>
  <si>
    <t>Bochenek Rafał</t>
  </si>
  <si>
    <t>Borowczak Jerzy</t>
  </si>
  <si>
    <t>Borowiak Joanna</t>
  </si>
  <si>
    <t>Bortniczuk Kamil</t>
  </si>
  <si>
    <t>Borys Piotr</t>
  </si>
  <si>
    <t>Borys-Szopa Bożena</t>
  </si>
  <si>
    <t>Bosak Krzysztof</t>
  </si>
  <si>
    <t>Braun Grzegorz</t>
  </si>
  <si>
    <t>Buda Waldemar</t>
  </si>
  <si>
    <t>Budka Borys</t>
  </si>
  <si>
    <t>165;75</t>
  </si>
  <si>
    <t>408000;160000</t>
  </si>
  <si>
    <t>Bukowiec Stanisław</t>
  </si>
  <si>
    <t>Burzyńska Lidia</t>
  </si>
  <si>
    <t>Buż Wiesław</t>
  </si>
  <si>
    <t>Chmiel Małgorzata</t>
  </si>
  <si>
    <t>Chmielowiec Zbigniew</t>
  </si>
  <si>
    <t>Choma Kazimierz</t>
  </si>
  <si>
    <t>Chorosińska Dominika</t>
  </si>
  <si>
    <t>Chrzan Tadeusz</t>
  </si>
  <si>
    <t>Cicholska Anna Ewa</t>
  </si>
  <si>
    <t>Cichoń Janusz</t>
  </si>
  <si>
    <t>Cieślak Michał</t>
  </si>
  <si>
    <t>Cymański Tadeusz</t>
  </si>
  <si>
    <t>Cyrański Adam</t>
  </si>
  <si>
    <t>682.7;161</t>
  </si>
  <si>
    <t>1950000;50000</t>
  </si>
  <si>
    <t>61.26;103.9;103.4;93.59;113.3</t>
  </si>
  <si>
    <t>336930;852160;832000;760000;700000</t>
  </si>
  <si>
    <t>Czarnecki Krzysztof</t>
  </si>
  <si>
    <t>Czarnecki Przemysław</t>
  </si>
  <si>
    <t>100;70;35</t>
  </si>
  <si>
    <t>800000;600000;300000</t>
  </si>
  <si>
    <t>Czarnecki Witold</t>
  </si>
  <si>
    <t>67.7;26.92</t>
  </si>
  <si>
    <t>320000;110000</t>
  </si>
  <si>
    <t>Czarnek Przemysław</t>
  </si>
  <si>
    <t>Czartoryski Arkadiusz</t>
  </si>
  <si>
    <t>Czarzasty Włodzimierz</t>
  </si>
  <si>
    <t>Czerniak Jacek</t>
  </si>
  <si>
    <t>Czernow Zofia</t>
  </si>
  <si>
    <t>Czerwińska Anita</t>
  </si>
  <si>
    <t>Czochara Katarzyna</t>
  </si>
  <si>
    <t>Czykwin Eugeniusz</t>
  </si>
  <si>
    <t>Dajczak Władysław</t>
  </si>
  <si>
    <t>Dąbrowska-Banaszek Anna</t>
  </si>
  <si>
    <t>71.9;48.93</t>
  </si>
  <si>
    <t>200000;150000</t>
  </si>
  <si>
    <t>Dobrzyński Leszek</t>
  </si>
  <si>
    <t>Dolata Zbigniew</t>
  </si>
  <si>
    <t>Dolniak Barbara</t>
  </si>
  <si>
    <t>Dorywalski Bartłomiej</t>
  </si>
  <si>
    <t>Drabek Przemysław</t>
  </si>
  <si>
    <t>Duda Elżbieta</t>
  </si>
  <si>
    <t>Duda Jan</t>
  </si>
  <si>
    <t>Duszek Marcin</t>
  </si>
  <si>
    <t>Dworczyk Michał</t>
  </si>
  <si>
    <t>Dyduch Marek</t>
  </si>
  <si>
    <t>Dziambor Artur</t>
  </si>
  <si>
    <t>Dziedziczak Jan</t>
  </si>
  <si>
    <t>Dziemianowicz-Bąk Agnieszka</t>
  </si>
  <si>
    <t>Dzikowski Waldy</t>
  </si>
  <si>
    <t>Dziuk Barbara</t>
  </si>
  <si>
    <t>Emilewicz Jadwiga</t>
  </si>
  <si>
    <t>Fabisiak Joanna</t>
  </si>
  <si>
    <t>Falej Monika</t>
  </si>
  <si>
    <t>Fedak Jolanta</t>
  </si>
  <si>
    <t>Filiks Magdalena</t>
  </si>
  <si>
    <t>Filipiak Ewa</t>
  </si>
  <si>
    <t>150;83</t>
  </si>
  <si>
    <t>550000;160000</t>
  </si>
  <si>
    <t>Fogiel Radosław</t>
  </si>
  <si>
    <t>Frydrych Joanna</t>
  </si>
  <si>
    <t>Frysztak Konrad</t>
  </si>
  <si>
    <t>Gadowski Krzysztof</t>
  </si>
  <si>
    <t>Gajewska Aleksandra</t>
  </si>
  <si>
    <t>Gajewska Kinga</t>
  </si>
  <si>
    <t>Galemba Leszek</t>
  </si>
  <si>
    <t>Galla Ryszard</t>
  </si>
  <si>
    <t>Gapińska Elżbieta</t>
  </si>
  <si>
    <t>Gasiuk-Pihowicz Kamila</t>
  </si>
  <si>
    <t>Gawęda Adam</t>
  </si>
  <si>
    <t>Gawkowski Krzysztof</t>
  </si>
  <si>
    <t>Gawron Andrzej</t>
  </si>
  <si>
    <t>105;100</t>
  </si>
  <si>
    <t>250000;290000</t>
  </si>
  <si>
    <t>Gaża Grzegorz</t>
  </si>
  <si>
    <t>Gdula Maciej</t>
  </si>
  <si>
    <t>Gelert Elżbieta</t>
  </si>
  <si>
    <t>Gembicka Anna</t>
  </si>
  <si>
    <t>Gill-Piątek Hanna</t>
  </si>
  <si>
    <t>Girzyński Zbigniew</t>
  </si>
  <si>
    <t>Giżyński Szymon</t>
  </si>
  <si>
    <t>Glenc Teresa</t>
  </si>
  <si>
    <t>Gliński Piotr</t>
  </si>
  <si>
    <t>Głogowski Tomasz</t>
  </si>
  <si>
    <t>199;110</t>
  </si>
  <si>
    <t>350000;300000</t>
  </si>
  <si>
    <t>Golbik Marta</t>
  </si>
  <si>
    <t>Golińska Małgorzata</t>
  </si>
  <si>
    <t>59.57;27.51</t>
  </si>
  <si>
    <t>200000;100000</t>
  </si>
  <si>
    <t>Gołojuch Kazimierz</t>
  </si>
  <si>
    <t>Gonciarz Jarosław</t>
  </si>
  <si>
    <t>Gontarz Robert</t>
  </si>
  <si>
    <t>Gosek Mariusz</t>
  </si>
  <si>
    <t>Gosek-Popiołek Daria</t>
  </si>
  <si>
    <t>Gosiewska Małgorzata</t>
  </si>
  <si>
    <t>Gowin Jarosław</t>
  </si>
  <si>
    <t>98;40</t>
  </si>
  <si>
    <t>500000;200000</t>
  </si>
  <si>
    <t>Górska Agnieszka</t>
  </si>
  <si>
    <t>100;128</t>
  </si>
  <si>
    <t>100000;100000</t>
  </si>
  <si>
    <t>Górski Maciej</t>
  </si>
  <si>
    <t>Grabarczyk Cezary</t>
  </si>
  <si>
    <t>Grabczuk Krzysztof</t>
  </si>
  <si>
    <t>Grabiec Jan</t>
  </si>
  <si>
    <t>Gramatyka Michał</t>
  </si>
  <si>
    <t>Gróbarczyk Marek</t>
  </si>
  <si>
    <t>72;37;45;49</t>
  </si>
  <si>
    <t>550000;220000;236538;257562</t>
  </si>
  <si>
    <t>Grupiński Rafał</t>
  </si>
  <si>
    <t>Grzyb Andrzej</t>
  </si>
  <si>
    <t>Gut-Mostowy Andrzej</t>
  </si>
  <si>
    <t>Gwiazdowski Kazimierz</t>
  </si>
  <si>
    <t>Gwóźdź Marcin</t>
  </si>
  <si>
    <t>Haidar Riad</t>
  </si>
  <si>
    <t>Hałas Teresa</t>
  </si>
  <si>
    <t>Hanajczyk Agnieszka</t>
  </si>
  <si>
    <t>Hardie-Douglas Jerzy</t>
  </si>
  <si>
    <t>300;160</t>
  </si>
  <si>
    <t>1000000;200000</t>
  </si>
  <si>
    <t>Hartwich Iwona</t>
  </si>
  <si>
    <t>Hennig-Kloska Paulina</t>
  </si>
  <si>
    <t>Hoc Czesław</t>
  </si>
  <si>
    <t>85;62.34</t>
  </si>
  <si>
    <t>345000;360000</t>
  </si>
  <si>
    <t>Hoffmann Zbigniew Grzegorz</t>
  </si>
  <si>
    <t>Hok Marek</t>
  </si>
  <si>
    <t>Horała Marcin</t>
  </si>
  <si>
    <t>Hreniak Paweł</t>
  </si>
  <si>
    <t>Iwaniak Arkadiusz</t>
  </si>
  <si>
    <t>Jach Michał</t>
  </si>
  <si>
    <t>Jachira Klaudia</t>
  </si>
  <si>
    <t>34.5;56.24</t>
  </si>
  <si>
    <t>240000;381000</t>
  </si>
  <si>
    <t>Janczyk Wiesław</t>
  </si>
  <si>
    <t>Janowska Małgorzata</t>
  </si>
  <si>
    <t>180;100</t>
  </si>
  <si>
    <t>500000;400000</t>
  </si>
  <si>
    <t>Janyska Maria Małgorzata</t>
  </si>
  <si>
    <t>Jaros Michał</t>
  </si>
  <si>
    <t>Jaśkowiak Joanna</t>
  </si>
  <si>
    <t>169.67;224.06</t>
  </si>
  <si>
    <t>1250000;650000</t>
  </si>
  <si>
    <t>Joński Dariusz</t>
  </si>
  <si>
    <t>Kaczmarczyk Norbert</t>
  </si>
  <si>
    <t>Kaczyński Filip</t>
  </si>
  <si>
    <t>Kaczyński Jarosław</t>
  </si>
  <si>
    <t>Kaleta Piotr</t>
  </si>
  <si>
    <t>Kaleta Sebastian</t>
  </si>
  <si>
    <t>Kałużny Mariusz</t>
  </si>
  <si>
    <t>Kamiński Krystian</t>
  </si>
  <si>
    <t>Kamiński Mariusz</t>
  </si>
  <si>
    <t>Kanthak Jan</t>
  </si>
  <si>
    <t>Kapinos Fryderyk</t>
  </si>
  <si>
    <t>Kasprzak Mieczysław</t>
  </si>
  <si>
    <t>Kidawa-Błońska Małgorzata</t>
  </si>
  <si>
    <t>Kierwiński Marcin</t>
  </si>
  <si>
    <t>35;53;89</t>
  </si>
  <si>
    <t>350000;90000;750000</t>
  </si>
  <si>
    <t>Klimczak Dariusz</t>
  </si>
  <si>
    <t>65.45;36.94</t>
  </si>
  <si>
    <t>350000;270000</t>
  </si>
  <si>
    <t>Kluzik-Rostkowska Joanna</t>
  </si>
  <si>
    <t>110;160</t>
  </si>
  <si>
    <t>700000;380000</t>
  </si>
  <si>
    <t>Kołakowski Lech</t>
  </si>
  <si>
    <t>Kołodziej Ewa</t>
  </si>
  <si>
    <t>Konieczny Maciej</t>
  </si>
  <si>
    <t>Konwiński Zbigniew</t>
  </si>
  <si>
    <t>Koperski Przemysław</t>
  </si>
  <si>
    <t>164;110</t>
  </si>
  <si>
    <t>550000;525000</t>
  </si>
  <si>
    <t>Kopiec Maciej</t>
  </si>
  <si>
    <t>Korwin-Mikke Janusz</t>
  </si>
  <si>
    <t>Kosiniak-Kamysz Władysław</t>
  </si>
  <si>
    <t>Kossakowski Wojciech</t>
  </si>
  <si>
    <t>Kostuś Tomasz</t>
  </si>
  <si>
    <t>Kosztowniak Andrzej</t>
  </si>
  <si>
    <t>Kotula Katarzyna</t>
  </si>
  <si>
    <t>Kowal Paweł</t>
  </si>
  <si>
    <t>Kowalczyk Henryk</t>
  </si>
  <si>
    <t>Kowalski Janusz</t>
  </si>
  <si>
    <t>Kownacki Bartosz</t>
  </si>
  <si>
    <t>Kozanecka Ewa</t>
  </si>
  <si>
    <t>Kozik Krzysztof Janusz</t>
  </si>
  <si>
    <t>Kozłowska Iwona Maria</t>
  </si>
  <si>
    <t>Krajewski Jarosław</t>
  </si>
  <si>
    <t>Krajewski Stefan</t>
  </si>
  <si>
    <t>Krajewski Wiesław</t>
  </si>
  <si>
    <t>217;95</t>
  </si>
  <si>
    <t>350000;210000</t>
  </si>
  <si>
    <t>Krasulski Leonard</t>
  </si>
  <si>
    <t>Krawczyk Michał</t>
  </si>
  <si>
    <t>Kretkowska Katarzyna</t>
  </si>
  <si>
    <t>Kropiwnicki Robert</t>
  </si>
  <si>
    <t>100;42;41;37;46;44;46;34;59</t>
  </si>
  <si>
    <t>450000;210000;205000;185000;230000;220000;230000;136000;295000</t>
  </si>
  <si>
    <t>Król Piotr</t>
  </si>
  <si>
    <t>Król Wojciech</t>
  </si>
  <si>
    <t>Krupka Anna</t>
  </si>
  <si>
    <t>Krutul Paweł</t>
  </si>
  <si>
    <t>49.2;49.34</t>
  </si>
  <si>
    <t>250000;250000</t>
  </si>
  <si>
    <t>Kryj Andrzej</t>
  </si>
  <si>
    <t>130.74;90;119.64</t>
  </si>
  <si>
    <t>380000;15000;170000</t>
  </si>
  <si>
    <t>Krząkała Marek</t>
  </si>
  <si>
    <t>Krzywonos-Strycharska Henryka</t>
  </si>
  <si>
    <t>67;32.81</t>
  </si>
  <si>
    <t>480000;226272</t>
  </si>
  <si>
    <t>Kubiak Marta</t>
  </si>
  <si>
    <t>Kubów Krzysztof</t>
  </si>
  <si>
    <t>62.2;51.8</t>
  </si>
  <si>
    <t>205000;190000</t>
  </si>
  <si>
    <t>Kucharska-Dziedzic Anita</t>
  </si>
  <si>
    <t>Kuchciński Marek</t>
  </si>
  <si>
    <t>Kukiz Paweł</t>
  </si>
  <si>
    <t>Kulasek Marcin</t>
  </si>
  <si>
    <t>Kulesza Jakub</t>
  </si>
  <si>
    <t>Kurowska Maria</t>
  </si>
  <si>
    <t>Kurowski Władysław</t>
  </si>
  <si>
    <t>Kurzawa Dariusz</t>
  </si>
  <si>
    <t>Kurzępa Jacek</t>
  </si>
  <si>
    <t>Kwiatkowski Robert</t>
  </si>
  <si>
    <t>Kwiecień Anna</t>
  </si>
  <si>
    <t>Kwitek Marek</t>
  </si>
  <si>
    <t>Lasek Maciej</t>
  </si>
  <si>
    <t>Latos Tomasz</t>
  </si>
  <si>
    <t>148;75;49</t>
  </si>
  <si>
    <t>344491;250000;250000</t>
  </si>
  <si>
    <t>Lenartowicz Gabriela</t>
  </si>
  <si>
    <t>Leniart Ewa</t>
  </si>
  <si>
    <t>Lenz Tomasz</t>
  </si>
  <si>
    <t>Leszczyna Izabela</t>
  </si>
  <si>
    <t>Lichocka Joanna</t>
  </si>
  <si>
    <t>Lipiec Krzysztof</t>
  </si>
  <si>
    <t>Lipiński Adam</t>
  </si>
  <si>
    <t>Lisiecki Paweł</t>
  </si>
  <si>
    <t>35.88;65.24</t>
  </si>
  <si>
    <t>314000;587000</t>
  </si>
  <si>
    <t>Lorek Grzegorz</t>
  </si>
  <si>
    <t>Lubczyk Radosław</t>
  </si>
  <si>
    <t>Lubnauer Katarzyna</t>
  </si>
  <si>
    <t>Ławniczak Tomasz</t>
  </si>
  <si>
    <t>Łącki Artur</t>
  </si>
  <si>
    <t>Łopata Jan</t>
  </si>
  <si>
    <t>Łośko Magdalena</t>
  </si>
  <si>
    <t>Machałek Marzena</t>
  </si>
  <si>
    <t>Maciejewska Beata</t>
  </si>
  <si>
    <t>37.6;32.88</t>
  </si>
  <si>
    <t>300000;165000</t>
  </si>
  <si>
    <t>Macierewicz Antoni</t>
  </si>
  <si>
    <t>Maksymowicz Wojciech</t>
  </si>
  <si>
    <t>76;34</t>
  </si>
  <si>
    <t>700000;220000</t>
  </si>
  <si>
    <t>Maląg Marlena Magdalena</t>
  </si>
  <si>
    <t>Malik Ewa</t>
  </si>
  <si>
    <t>Maliszewski Mirosław</t>
  </si>
  <si>
    <t>Małecki Jerzy</t>
  </si>
  <si>
    <t>Małecki Maciej</t>
  </si>
  <si>
    <t>63;25;25;48</t>
  </si>
  <si>
    <t>280000;150000;150000;240000</t>
  </si>
  <si>
    <t>Marchewka Arkadiusz</t>
  </si>
  <si>
    <t>Marczułajtis-Walczak Jagna</t>
  </si>
  <si>
    <t>168;71.23;71;23</t>
  </si>
  <si>
    <t>Masłowska Gabriela</t>
  </si>
  <si>
    <t>Materna Jerzy</t>
  </si>
  <si>
    <t>40.6;103.8</t>
  </si>
  <si>
    <t>160000;328000</t>
  </si>
  <si>
    <t>Mateusiak-Pielucha Beata</t>
  </si>
  <si>
    <t>Matusiak Grzegorz</t>
  </si>
  <si>
    <t>55;55.7</t>
  </si>
  <si>
    <t>130000;180000</t>
  </si>
  <si>
    <t>Matuszewski Marek</t>
  </si>
  <si>
    <t>194.35;304</t>
  </si>
  <si>
    <t>496000;1100000</t>
  </si>
  <si>
    <t>Matuszny Kazimierz</t>
  </si>
  <si>
    <t>Matysiak Paulina</t>
  </si>
  <si>
    <t>Mejza Łukasz</t>
  </si>
  <si>
    <t>Michałek Iwona</t>
  </si>
  <si>
    <t>Mieszkowski Krzysztof</t>
  </si>
  <si>
    <t>Milczanowska Anna</t>
  </si>
  <si>
    <t>Milewski Daniel</t>
  </si>
  <si>
    <t>Miller Rajmund</t>
  </si>
  <si>
    <t>Miszalski Aleksander</t>
  </si>
  <si>
    <t>Morawiecki Mateusz</t>
  </si>
  <si>
    <t>150;100</t>
  </si>
  <si>
    <t>1900000;3250000</t>
  </si>
  <si>
    <t>Mosiński Jan</t>
  </si>
  <si>
    <t>Moskal Kazimierz</t>
  </si>
  <si>
    <t>Mroczek Czesław</t>
  </si>
  <si>
    <t>Mrówczyński Aleksander</t>
  </si>
  <si>
    <t>Mrzygłocka Izabela Katarzyna</t>
  </si>
  <si>
    <t>82.48;32.8</t>
  </si>
  <si>
    <t>342000;164000</t>
  </si>
  <si>
    <t>Mucha Joanna</t>
  </si>
  <si>
    <t>Mularczyk Arkadiusz</t>
  </si>
  <si>
    <t>Müller Piotr</t>
  </si>
  <si>
    <t>Munyama Killion</t>
  </si>
  <si>
    <t>Murdzek Wojciech</t>
  </si>
  <si>
    <t>212;139.4</t>
  </si>
  <si>
    <t>700000;350000</t>
  </si>
  <si>
    <t>Myrcha Arkadiusz</t>
  </si>
  <si>
    <t>Napieralski Grzegorz</t>
  </si>
  <si>
    <t>Neumann Sławomir</t>
  </si>
  <si>
    <t>Niedziela Dorota</t>
  </si>
  <si>
    <t>Niemczyk Małgorzata</t>
  </si>
  <si>
    <t>49.75;143.6;81.2;31.6;31.2;31.7;32;32;32;32</t>
  </si>
  <si>
    <t>250000;1350000;350000;260000;260000;260000;255000;255000;225000;225000</t>
  </si>
  <si>
    <t>Nitras Sławomir</t>
  </si>
  <si>
    <t>Nowacka Barbara</t>
  </si>
  <si>
    <t>Nowak Tomasz Piotr</t>
  </si>
  <si>
    <t>Nowicka Danuta</t>
  </si>
  <si>
    <t>Nowicka Wanda</t>
  </si>
  <si>
    <t>Nowogórska Urszula</t>
  </si>
  <si>
    <t>Nykiel Mirosława</t>
  </si>
  <si>
    <t>Obaz Robert</t>
  </si>
  <si>
    <t>Ociepa Marcin</t>
  </si>
  <si>
    <t>Okła-Drewnowicz Marzena</t>
  </si>
  <si>
    <t>62;34.21</t>
  </si>
  <si>
    <t>200000;120000</t>
  </si>
  <si>
    <t>Olejniczak Waldemar</t>
  </si>
  <si>
    <t>Olichwer Tomasz</t>
  </si>
  <si>
    <t>Olszewski Dariusz</t>
  </si>
  <si>
    <t>Olszewski Paweł</t>
  </si>
  <si>
    <t>94;12</t>
  </si>
  <si>
    <t>500000;40000</t>
  </si>
  <si>
    <t>Ołdakowski Adam</t>
  </si>
  <si>
    <t>Opioła Marek</t>
  </si>
  <si>
    <t>Osos Katarzyna</t>
  </si>
  <si>
    <t>52.5;52.5;52.5</t>
  </si>
  <si>
    <t>270000;270000;270000</t>
  </si>
  <si>
    <t>Osuch Jacek</t>
  </si>
  <si>
    <t>Ozdoba Jacek</t>
  </si>
  <si>
    <t>Paluch Anna</t>
  </si>
  <si>
    <t>Pamuła Teresa</t>
  </si>
  <si>
    <t>Papke Paweł</t>
  </si>
  <si>
    <t>130.64;29.5</t>
  </si>
  <si>
    <t>750000;350000</t>
  </si>
  <si>
    <t>Pasławska Urszula</t>
  </si>
  <si>
    <t>Paszyk Krzysztof</t>
  </si>
  <si>
    <t>Paul Jerzy</t>
  </si>
  <si>
    <t>Pawliczak Karolina</t>
  </si>
  <si>
    <t>Pawłowska Monika</t>
  </si>
  <si>
    <t>Pępek Małgorzata</t>
  </si>
  <si>
    <t>Piątkowski Krzysztof</t>
  </si>
  <si>
    <t>47;52</t>
  </si>
  <si>
    <t>360000;400000</t>
  </si>
  <si>
    <t>Piecha Bolesław</t>
  </si>
  <si>
    <t>Piechota Sławomir Jan</t>
  </si>
  <si>
    <t>108;67.11</t>
  </si>
  <si>
    <t>600000;465000</t>
  </si>
  <si>
    <t>Piechowiak Grzegorz</t>
  </si>
  <si>
    <t>Pieczarka Anna</t>
  </si>
  <si>
    <t>56;60.7</t>
  </si>
  <si>
    <t>115000;237000</t>
  </si>
  <si>
    <t>Piekarska Katarzyna Maria</t>
  </si>
  <si>
    <t>98;45;49</t>
  </si>
  <si>
    <t>700000;400000;390000</t>
  </si>
  <si>
    <t>Piontkowski Dariusz</t>
  </si>
  <si>
    <t>48;45.86;48.8</t>
  </si>
  <si>
    <t>200000;20000;30000</t>
  </si>
  <si>
    <t>Plocke Kazimierz</t>
  </si>
  <si>
    <t>290;140</t>
  </si>
  <si>
    <t>750000;550000</t>
  </si>
  <si>
    <t>Płażyński Kacper</t>
  </si>
  <si>
    <t>39;54;95</t>
  </si>
  <si>
    <t>90000;600000;800000</t>
  </si>
  <si>
    <t>Płonka Elżbieta</t>
  </si>
  <si>
    <t>Pogoda Szymon</t>
  </si>
  <si>
    <t>Polaczek Jerzy</t>
  </si>
  <si>
    <t>Polak Marek</t>
  </si>
  <si>
    <t>Polak Piotr</t>
  </si>
  <si>
    <t>Pomaska Agnieszka</t>
  </si>
  <si>
    <t>69.5;43.13</t>
  </si>
  <si>
    <t>350000;400000</t>
  </si>
  <si>
    <t>Poncyljusz Paweł</t>
  </si>
  <si>
    <t>Porowska Violetta</t>
  </si>
  <si>
    <t>Porzucek Marcin</t>
  </si>
  <si>
    <t>61.6;33.35</t>
  </si>
  <si>
    <t>450000;150000</t>
  </si>
  <si>
    <t>Prokop-Paczkowska Małgorzata</t>
  </si>
  <si>
    <t>Protas Jacek</t>
  </si>
  <si>
    <t>104;63;57</t>
  </si>
  <si>
    <t>400000;250000;100000</t>
  </si>
  <si>
    <t>Protasiewicz Jacek</t>
  </si>
  <si>
    <t>Puda Grzegorz</t>
  </si>
  <si>
    <t>Raś Ireneusz</t>
  </si>
  <si>
    <t>Rau Zbigniew</t>
  </si>
  <si>
    <t>160;330</t>
  </si>
  <si>
    <t>400000;800000</t>
  </si>
  <si>
    <t>Romanowski Rafał</t>
  </si>
  <si>
    <t>Rosa Monika</t>
  </si>
  <si>
    <t>47.88;64</t>
  </si>
  <si>
    <t>311000;300000</t>
  </si>
  <si>
    <t>Rosati Dariusz</t>
  </si>
  <si>
    <t>Rozenek Andrzej</t>
  </si>
  <si>
    <t>130;80</t>
  </si>
  <si>
    <t>700000;300000</t>
  </si>
  <si>
    <t>61;50</t>
  </si>
  <si>
    <t>Rusecka Urszula</t>
  </si>
  <si>
    <t>Rusiecki Grzegorz</t>
  </si>
  <si>
    <t>53.1;48.5</t>
  </si>
  <si>
    <t>190000;150000</t>
  </si>
  <si>
    <t>Rutka Marek</t>
  </si>
  <si>
    <t>28.7;76.6;29.02</t>
  </si>
  <si>
    <t>240000;650000;285000</t>
  </si>
  <si>
    <t>Rutnicki Jakub</t>
  </si>
  <si>
    <t>Rychlik Paweł</t>
  </si>
  <si>
    <t>Rząsa Marek</t>
  </si>
  <si>
    <t>Rzepa Jarosław</t>
  </si>
  <si>
    <t>Rzymkowski Tomasz</t>
  </si>
  <si>
    <t>Sachajko Jarosław</t>
  </si>
  <si>
    <t>250;169.5</t>
  </si>
  <si>
    <t>900000;650000</t>
  </si>
  <si>
    <t>Sak Piotr</t>
  </si>
  <si>
    <t>Saługa Wojciech</t>
  </si>
  <si>
    <t>152;179</t>
  </si>
  <si>
    <t>600000;450000</t>
  </si>
  <si>
    <t>36;34.4</t>
  </si>
  <si>
    <t>150000;250000</t>
  </si>
  <si>
    <t>Sasin Jacek</t>
  </si>
  <si>
    <t>Sawicki Marek</t>
  </si>
  <si>
    <t>Schetyna Grzegorz</t>
  </si>
  <si>
    <t>54.7;33.6;32.8;36.25</t>
  </si>
  <si>
    <t>350000;239000;239000;275450</t>
  </si>
  <si>
    <t>Scheuring-Wielgus Joanna</t>
  </si>
  <si>
    <t>Schmidt Anna</t>
  </si>
  <si>
    <t>Schreiber Łukasz</t>
  </si>
  <si>
    <t>Sekuła-Szmajdzińska Małgorzata</t>
  </si>
  <si>
    <t>Sellin Jarosław</t>
  </si>
  <si>
    <t>Senyszyn Joanna</t>
  </si>
  <si>
    <t>56;80;52</t>
  </si>
  <si>
    <t>281958;150000;180000</t>
  </si>
  <si>
    <t>Siarka Edward</t>
  </si>
  <si>
    <t>Siarkowska Anna Maria</t>
  </si>
  <si>
    <t>Sibińska Krystyna</t>
  </si>
  <si>
    <t>Siekierski Czesław</t>
  </si>
  <si>
    <t>Siemoniak Tomasz</t>
  </si>
  <si>
    <t>46.4;49.8;111</t>
  </si>
  <si>
    <t>255000;400000;1100000</t>
  </si>
  <si>
    <t>Sienkiewicz Bartłomiej</t>
  </si>
  <si>
    <t>80;56</t>
  </si>
  <si>
    <t>800000;560000</t>
  </si>
  <si>
    <t>Sipiera Zdzisław</t>
  </si>
  <si>
    <t>Skowrońska Krystyna</t>
  </si>
  <si>
    <t>Skwarek Sławomir</t>
  </si>
  <si>
    <t>Sługocki Waldemar</t>
  </si>
  <si>
    <t>Smoliński Kazimierz</t>
  </si>
  <si>
    <t>260;82</t>
  </si>
  <si>
    <t>600000;130000</t>
  </si>
  <si>
    <t>Sobolewski Krzysztof</t>
  </si>
  <si>
    <t>Soboń Artur</t>
  </si>
  <si>
    <t>Soin Agnieszka</t>
  </si>
  <si>
    <t>170;300</t>
  </si>
  <si>
    <t>400000;1400000</t>
  </si>
  <si>
    <t>19;20.5;30.5;30.5</t>
  </si>
  <si>
    <t>200000;239000;286136;360000</t>
  </si>
  <si>
    <t>Sonik Bogusław</t>
  </si>
  <si>
    <t>Sośnierz Andrzej</t>
  </si>
  <si>
    <t>Sośnierz Dobromir</t>
  </si>
  <si>
    <t>Sowa Marek</t>
  </si>
  <si>
    <t>192;276</t>
  </si>
  <si>
    <t>810000;300000</t>
  </si>
  <si>
    <t>Sowińska Anita</t>
  </si>
  <si>
    <t>Sójka Katarzyna</t>
  </si>
  <si>
    <t>Sroka Magdalena</t>
  </si>
  <si>
    <t>56.52;108.2</t>
  </si>
  <si>
    <t>400000;400000</t>
  </si>
  <si>
    <t>Stachowiak-Różecka Mirosława</t>
  </si>
  <si>
    <t>Stefaniuk Dariusz</t>
  </si>
  <si>
    <t>Sterczewski Franciszek</t>
  </si>
  <si>
    <t>Strzałka Beata</t>
  </si>
  <si>
    <t>Suchoń Mirosław</t>
  </si>
  <si>
    <t>Suski Marek</t>
  </si>
  <si>
    <t>Szałabawka Artur</t>
  </si>
  <si>
    <t>Szarama Wojciech</t>
  </si>
  <si>
    <t>Szczepański Wiesław</t>
  </si>
  <si>
    <t>Szczerba Michał</t>
  </si>
  <si>
    <t>Szczudło Aleksandra</t>
  </si>
  <si>
    <t>Szczurek-Żelazko Józefa</t>
  </si>
  <si>
    <t>Szefernaker Paweł</t>
  </si>
  <si>
    <t>Szejna Andrzej</t>
  </si>
  <si>
    <t>Szewiński Andrzej</t>
  </si>
  <si>
    <t>248;140</t>
  </si>
  <si>
    <t>200000;36600</t>
  </si>
  <si>
    <t>Szlachta Andrzej</t>
  </si>
  <si>
    <t>Szłapka Adam</t>
  </si>
  <si>
    <t>54.6;52</t>
  </si>
  <si>
    <t>323000;25000</t>
  </si>
  <si>
    <t>Szopiński Jan</t>
  </si>
  <si>
    <t>64;49</t>
  </si>
  <si>
    <t>Szramka Paweł</t>
  </si>
  <si>
    <t>Szulowski Krzysztof</t>
  </si>
  <si>
    <t>Szumilas Krystyna</t>
  </si>
  <si>
    <t>Szumowski Łukasz</t>
  </si>
  <si>
    <t>Szwed Stanisław</t>
  </si>
  <si>
    <t>Szymańska Ewa</t>
  </si>
  <si>
    <t>Szymański Tomasz</t>
  </si>
  <si>
    <t>Szynkowski vel Sęk Szymon</t>
  </si>
  <si>
    <t>Ścigaj Agnieszka</t>
  </si>
  <si>
    <t>Śledzińska-Katarasińska Iwona</t>
  </si>
  <si>
    <t>42;64</t>
  </si>
  <si>
    <t>100000;425000</t>
  </si>
  <si>
    <t>Śmiszek Krzysztof</t>
  </si>
  <si>
    <t>55.59;40.82</t>
  </si>
  <si>
    <t>266000;210000</t>
  </si>
  <si>
    <t>Śniadek Janusz</t>
  </si>
  <si>
    <t>54.2;46.1</t>
  </si>
  <si>
    <t>405000;200000</t>
  </si>
  <si>
    <t>Śnieżek Adam</t>
  </si>
  <si>
    <t>Świat Jacek</t>
  </si>
  <si>
    <t>Tarczyński Dominik</t>
  </si>
  <si>
    <t>Tchórzewski Krzysztof</t>
  </si>
  <si>
    <t>Telus Robert</t>
  </si>
  <si>
    <t>Terlecki Ryszard</t>
  </si>
  <si>
    <t>Tomaszewski Tadeusz</t>
  </si>
  <si>
    <t>Tomaszewski Włodzimierz</t>
  </si>
  <si>
    <t>49;70</t>
  </si>
  <si>
    <t>170000;150000</t>
  </si>
  <si>
    <t>Tomczak Jacek</t>
  </si>
  <si>
    <t>Tomczyk Cezary</t>
  </si>
  <si>
    <t>Tracz Małgorzata</t>
  </si>
  <si>
    <t>Trela Tomasz</t>
  </si>
  <si>
    <t>Trepka Mariusz</t>
  </si>
  <si>
    <t>Truskolaski Krzysztof</t>
  </si>
  <si>
    <t>Tuduj Krzysztof</t>
  </si>
  <si>
    <t>Tułajew Sylwester</t>
  </si>
  <si>
    <t>Tyszka Stanisław</t>
  </si>
  <si>
    <t>Tyszkiewicz Robert</t>
  </si>
  <si>
    <t>Ueberhan Katarzyna</t>
  </si>
  <si>
    <t>Urbaniak Jarosław</t>
  </si>
  <si>
    <t>33.2;30.2;49</t>
  </si>
  <si>
    <t>140000;140000;257000</t>
  </si>
  <si>
    <t>Urbaniak Michał</t>
  </si>
  <si>
    <t>Uruski Piotr</t>
  </si>
  <si>
    <t>Uściński Piotr</t>
  </si>
  <si>
    <t>Wałęsa Jarosław</t>
  </si>
  <si>
    <t>Warchoł Marcin</t>
  </si>
  <si>
    <t>87;73.87</t>
  </si>
  <si>
    <t>800000;600000</t>
  </si>
  <si>
    <t>Wargocka Teresa</t>
  </si>
  <si>
    <t>Warwas Robert</t>
  </si>
  <si>
    <t>Warzecha Jan</t>
  </si>
  <si>
    <t>Wasilewska Anna</t>
  </si>
  <si>
    <t>Wassermann Małgorzata</t>
  </si>
  <si>
    <t>Wawrzyk Piotr</t>
  </si>
  <si>
    <t>Wąsik Maciej</t>
  </si>
  <si>
    <t>150;80</t>
  </si>
  <si>
    <t>1000000;150400</t>
  </si>
  <si>
    <t>Wcisło Marta</t>
  </si>
  <si>
    <t>Weber Rafał</t>
  </si>
  <si>
    <t>Wesoły Marek</t>
  </si>
  <si>
    <t>Wicher Patryk</t>
  </si>
  <si>
    <t>Wieczorek Dariusz</t>
  </si>
  <si>
    <t>Wielichowska Monika</t>
  </si>
  <si>
    <t>Wilczyński Ryszard</t>
  </si>
  <si>
    <t>Wilk Jerzy</t>
  </si>
  <si>
    <t>Winnicki Robert</t>
  </si>
  <si>
    <t>Witczak Mariusz</t>
  </si>
  <si>
    <t>Witek Elżbieta</t>
  </si>
  <si>
    <t>Wojciechowska Anna</t>
  </si>
  <si>
    <t>Wojciechowski Grzegorz</t>
  </si>
  <si>
    <t>Wojtyszek Agata Katarzyna</t>
  </si>
  <si>
    <t>Wolski Zdzisław</t>
  </si>
  <si>
    <t>73;57.28;52</t>
  </si>
  <si>
    <t>280000;210000;180000</t>
  </si>
  <si>
    <t>Wontor Bogusław</t>
  </si>
  <si>
    <t>Woś Michał</t>
  </si>
  <si>
    <t>Woźniak Grzegorz Adam</t>
  </si>
  <si>
    <t>Woźniak Tadeusz</t>
  </si>
  <si>
    <t>Wójcik Michał</t>
  </si>
  <si>
    <t>220;26</t>
  </si>
  <si>
    <t>330000;13400</t>
  </si>
  <si>
    <t>57.56;51.51</t>
  </si>
  <si>
    <t>20000;242688</t>
  </si>
  <si>
    <t>Wróblewski Bartłomiej</t>
  </si>
  <si>
    <t>Wypij Michał</t>
  </si>
  <si>
    <t>Zagórski Marek</t>
  </si>
  <si>
    <t>Zalewski Paweł</t>
  </si>
  <si>
    <t>Zandberg Adrian</t>
  </si>
  <si>
    <t>Zawisza Marcelina</t>
  </si>
  <si>
    <t>Zawiślak Sławomir</t>
  </si>
  <si>
    <t>Zembaczyński Witold</t>
  </si>
  <si>
    <t>Zgorzelski Piotr</t>
  </si>
  <si>
    <t>48.45;63.75;62.36</t>
  </si>
  <si>
    <t>280000;220000;293092</t>
  </si>
  <si>
    <t>Ziejewski Zbigniew</t>
  </si>
  <si>
    <t>Zielińska Elżbieta</t>
  </si>
  <si>
    <t>Zielińska Urszula</t>
  </si>
  <si>
    <t>Zieliński Jarosław</t>
  </si>
  <si>
    <t>Zieliński Tomasz</t>
  </si>
  <si>
    <t>Zientarski Piotr Benedykt</t>
  </si>
  <si>
    <t>Zimoch Tomasz</t>
  </si>
  <si>
    <t>Ziobro Zbigniew</t>
  </si>
  <si>
    <t>Zubowski Wojciech</t>
  </si>
  <si>
    <t>Zwiefka Tadeusz</t>
  </si>
  <si>
    <t>Zyska Ireneusz</t>
  </si>
  <si>
    <t>Żalek Jacek</t>
  </si>
  <si>
    <t>Żelazowska Bożena</t>
  </si>
  <si>
    <t>Żuk Stanisław</t>
  </si>
  <si>
    <t>Żukowska Anna Maria</t>
  </si>
</sst>
</file>

<file path=xl/styles.xml><?xml version="1.0" encoding="utf-8"?>
<styleSheet xmlns="http://schemas.openxmlformats.org/spreadsheetml/2006/main" xmlns:x14ac="http://schemas.microsoft.com/office/spreadsheetml/2009/9/ac" xmlns:mc="http://schemas.openxmlformats.org/markup-compatibility/2006" mc:Ignorable="x14ac">
  <numFmts count="0"/>
  <fonts count="2" x14ac:knownFonts="1">
    <font>
      <sz val="11"/>
      <color theme="1"/>
      <name val="Calibri"/>
      <family val="2"/>
      <scheme val="minor"/>
    </font>
    <font>
      <sz val="11"/>
      <color theme="1"/>
      <name val="Calibri"/>
      <family val="2"/>
    </font>
  </fonts>
  <fills count="3">
    <fill>
      <patternFill patternType="none"/>
    </fill>
    <fill>
      <patternFill patternType="gray125"/>
    </fill>
    <fill>
      <patternFill patternType="solid">
        <fgColor rgb="FFffff00"/>
      </patternFill>
    </fill>
  </fills>
  <borders count="15">
    <border>
      <left/>
      <right/>
      <top/>
      <bottom/>
      <diagonal/>
    </border>
    <border>
      <left style="medium">
        <color rgb="FF000000"/>
      </left>
      <right style="thin">
        <color rgb="FF000000"/>
      </right>
      <top style="medium">
        <color rgb="FF000000"/>
      </top>
      <bottom style="medium">
        <color rgb="FF000000"/>
      </bottom>
      <diagonal/>
    </border>
    <border>
      <left style="thin">
        <color rgb="FF000000"/>
      </left>
      <right style="thin">
        <color rgb="FF000000"/>
      </right>
      <top style="medium">
        <color rgb="FF000000"/>
      </top>
      <bottom style="medium">
        <color rgb="FF000000"/>
      </bottom>
      <diagonal/>
    </border>
    <border>
      <left style="thin">
        <color rgb="FF000000"/>
      </left>
      <right style="medium">
        <color rgb="FF000000"/>
      </right>
      <top style="medium">
        <color rgb="FF000000"/>
      </top>
      <bottom style="medium">
        <color rgb="FF000000"/>
      </bottom>
      <diagonal/>
    </border>
    <border>
      <left style="medium">
        <color rgb="FF000000"/>
      </left>
      <right style="thin">
        <color rgb="FF000000"/>
      </right>
      <top/>
      <bottom style="thin">
        <color rgb="FF000000"/>
      </bottom>
      <diagonal/>
    </border>
    <border>
      <left style="thin">
        <color rgb="FF000000"/>
      </left>
      <right style="thin">
        <color rgb="FF000000"/>
      </right>
      <top/>
      <bottom style="thin">
        <color rgb="FF000000"/>
      </bottom>
      <diagonal/>
    </border>
    <border>
      <left style="thin">
        <color rgb="FF000000"/>
      </left>
      <right style="medium">
        <color rgb="FF000000"/>
      </right>
      <top/>
      <bottom style="thin">
        <color rgb="FF000000"/>
      </bottom>
      <diagonal/>
    </border>
    <border>
      <left style="medium">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medium">
        <color rgb="FF000000"/>
      </right>
      <top style="thin">
        <color rgb="FF000000"/>
      </top>
      <bottom style="thin">
        <color rgb="FF000000"/>
      </bottom>
      <diagonal/>
    </border>
    <border>
      <left/>
      <right/>
      <top/>
      <bottom/>
      <diagonal/>
    </border>
    <border>
      <left style="medium">
        <color rgb="FF000000"/>
      </left>
      <right style="thin">
        <color rgb="FF000000"/>
      </right>
      <top style="thin">
        <color rgb="FF000000"/>
      </top>
      <bottom style="medium">
        <color rgb="FF000000"/>
      </bottom>
      <diagonal/>
    </border>
    <border>
      <left style="thin">
        <color rgb="FF000000"/>
      </left>
      <right style="thin">
        <color rgb="FF000000"/>
      </right>
      <top style="thin">
        <color rgb="FF000000"/>
      </top>
      <bottom style="medium">
        <color rgb="FF000000"/>
      </bottom>
      <diagonal/>
    </border>
    <border>
      <left style="thin">
        <color rgb="FF000000"/>
      </left>
      <right style="medium">
        <color rgb="FF000000"/>
      </right>
      <top style="thin">
        <color rgb="FF000000"/>
      </top>
      <bottom style="medium">
        <color rgb="FF000000"/>
      </bottom>
      <diagonal/>
    </border>
    <border>
      <left style="thin">
        <color rgb="FFc6c6c6"/>
      </left>
      <right style="thin">
        <color rgb="FFc6c6c6"/>
      </right>
      <top style="thin">
        <color rgb="FFc6c6c6"/>
      </top>
      <bottom style="thin">
        <color rgb="FFc6c6c6"/>
      </bottom>
      <diagonal/>
    </border>
  </borders>
  <cellStyleXfs count="1">
    <xf numFmtId="0" fontId="0" fillId="0" borderId="0"/>
  </cellStyleXfs>
  <cellXfs count="29">
    <xf xfId="0" numFmtId="0" borderId="0" fontId="0" fillId="0"/>
    <xf xfId="0" numFmtId="0" borderId="1" applyBorder="1" fontId="1" applyFont="1" fillId="0" applyAlignment="1">
      <alignment horizontal="left"/>
    </xf>
    <xf xfId="0" numFmtId="0" borderId="2" applyBorder="1" fontId="1" applyFont="1" fillId="0" applyAlignment="1">
      <alignment horizontal="left"/>
    </xf>
    <xf xfId="0" numFmtId="0" borderId="3" applyBorder="1" fontId="1" applyFont="1" fillId="0" applyAlignment="1">
      <alignment horizontal="left" wrapText="1"/>
    </xf>
    <xf xfId="0" numFmtId="0" borderId="0" fontId="0" fillId="0" applyAlignment="1">
      <alignment horizontal="general"/>
    </xf>
    <xf xfId="0" numFmtId="0" borderId="0" fontId="0" fillId="0" applyAlignment="1">
      <alignment horizontal="general" wrapText="1"/>
    </xf>
    <xf xfId="0" numFmtId="0" borderId="4" applyBorder="1" fontId="1" applyFont="1" fillId="0" applyAlignment="1">
      <alignment horizontal="left"/>
    </xf>
    <xf xfId="0" numFmtId="0" borderId="5" applyBorder="1" fontId="1" applyFont="1" fillId="0" applyAlignment="1">
      <alignment horizontal="left"/>
    </xf>
    <xf xfId="0" numFmtId="0" borderId="6" applyBorder="1" fontId="1" applyFont="1" fillId="0" applyAlignment="1">
      <alignment horizontal="left" wrapText="1"/>
    </xf>
    <xf xfId="0" numFmtId="0" borderId="7" applyBorder="1" fontId="1" applyFont="1" fillId="0" applyAlignment="1">
      <alignment horizontal="left"/>
    </xf>
    <xf xfId="0" numFmtId="0" borderId="8" applyBorder="1" fontId="1" applyFont="1" fillId="0" applyAlignment="1">
      <alignment horizontal="left"/>
    </xf>
    <xf xfId="0" numFmtId="0" borderId="9" applyBorder="1" fontId="1" applyFont="1" fillId="0" applyAlignment="1">
      <alignment horizontal="left" wrapText="1"/>
    </xf>
    <xf xfId="0" numFmtId="0" borderId="10" applyBorder="1" fontId="1" applyFont="1" fillId="0" applyAlignment="1">
      <alignment horizontal="left" wrapText="1"/>
    </xf>
    <xf xfId="0" numFmtId="0" borderId="11" applyBorder="1" fontId="1" applyFont="1" fillId="0" applyAlignment="1">
      <alignment horizontal="left"/>
    </xf>
    <xf xfId="0" numFmtId="0" borderId="12" applyBorder="1" fontId="1" applyFont="1" fillId="0" applyAlignment="1">
      <alignment horizontal="left"/>
    </xf>
    <xf xfId="0" numFmtId="0" borderId="13" applyBorder="1" fontId="1" applyFont="1" fillId="0" applyAlignment="1">
      <alignment horizontal="left" wrapText="1"/>
    </xf>
    <xf xfId="0" numFmtId="0" borderId="0" fontId="0" fillId="0" applyAlignment="1">
      <alignment horizontal="general"/>
    </xf>
    <xf xfId="0" numFmtId="0" borderId="0" fontId="0" fillId="0" applyAlignment="1">
      <alignment horizontal="general" wrapText="1"/>
    </xf>
    <xf xfId="0" numFmtId="4" applyNumberFormat="1" borderId="0" fontId="0" fillId="0" applyAlignment="1">
      <alignment horizontal="right"/>
    </xf>
    <xf xfId="0" numFmtId="4" applyNumberFormat="1" borderId="0" fontId="0" fillId="0" applyAlignment="1">
      <alignment horizontal="general"/>
    </xf>
    <xf xfId="0" numFmtId="3" applyNumberFormat="1" borderId="0" fontId="0" fillId="0" applyAlignment="1">
      <alignment horizontal="general"/>
    </xf>
    <xf xfId="0" numFmtId="3" applyNumberFormat="1" borderId="0" fontId="0" fillId="0" applyAlignment="1">
      <alignment horizontal="right"/>
    </xf>
    <xf xfId="0" numFmtId="3" applyNumberFormat="1" borderId="10" applyBorder="1" fontId="1" applyFont="1" fillId="0" applyAlignment="1">
      <alignment horizontal="right"/>
    </xf>
    <xf xfId="0" numFmtId="4" applyNumberFormat="1" borderId="10" applyBorder="1" fontId="1" applyFont="1" fillId="0" applyAlignment="1">
      <alignment horizontal="right"/>
    </xf>
    <xf xfId="0" numFmtId="0" borderId="14" applyBorder="1" fontId="1" applyFont="1" fillId="2" applyFill="1" applyAlignment="1">
      <alignment horizontal="left"/>
    </xf>
    <xf xfId="0" numFmtId="4" applyNumberFormat="1" borderId="0" fontId="0" fillId="0" applyAlignment="1">
      <alignment horizontal="right"/>
    </xf>
    <xf xfId="0" numFmtId="4" applyNumberFormat="1" borderId="0" fontId="0" fillId="0" applyAlignment="1">
      <alignment horizontal="general"/>
    </xf>
    <xf xfId="0" numFmtId="3" applyNumberFormat="1" borderId="0" fontId="0" fillId="0" applyAlignment="1">
      <alignment horizontal="general"/>
    </xf>
    <xf xfId="0" numFmtId="3" applyNumberFormat="1" borderId="0" fontId="0" fillId="0" applyAlignment="1">
      <alignment horizontal="right"/>
    </xf>
  </cellXfs>
  <cellStyles count="1">
    <cellStyle xfId="0" builtinId="0" name="Normal"/>
  </cellStyles>
  <dxfs count="0"/>
  <tableStyles count="0" defaultTableStyle="TableStyleMedium9" defaultPivotStyle="PivotStyleLight16"/>
  <extLst>
    <ext uri="{EB79DEF2-80B8-43e5-95BD-54CBDDF9020C}">
      <x14ac:slicerStyles xmlns:x14="http://schemas.microsoft.com/office/spreadsheetml/2009/9/main" defaultSlicerStyle="SlicerStyleLight1"/>
    </ext>
  </extLst>
</styleSheet>
</file>

<file path=xl/_rels/workbook.xml.rels><?xml version="1.0" encoding="UTF-8" standalone="yes"?><Relationships xmlns="http://schemas.openxmlformats.org/package/2006/relationships"><Relationship Target="worksheets/sheet1.xml" Type="http://schemas.openxmlformats.org/officeDocument/2006/relationships/worksheet" Id="rId1"/><Relationship Target="worksheets/sheet2.xml" Type="http://schemas.openxmlformats.org/officeDocument/2006/relationships/worksheet" Id="rId2"/><Relationship Target="sharedStrings.xml" Type="http://schemas.openxmlformats.org/officeDocument/2006/relationships/sharedStrings" Id="rId3"/><Relationship Target="styles.xml" Type="http://schemas.openxmlformats.org/officeDocument/2006/relationships/styles" Id="rId4"/><Relationship Target="theme/theme1.xml" Type="http://schemas.openxmlformats.org/officeDocument/2006/relationships/theme" Id="rId5"/></Relationships>
</file>

<file path=xl/theme/theme1.xml><?xml version="1.0" encoding="utf-8"?>
<a:theme xmlns:a="http://schemas.openxmlformats.org/drawingml/2006/main" name="Office Theme">
  <a:themeElements>
    <a:clrScheme name="Office">
      <a:dk1>
        <a:sysClr lastClr="000000" val="windowText"/>
      </a:dk1>
      <a:lt1>
        <a:sysClr lastClr="FFFFFF" val="window"/>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000FF"/>
      </a:hlink>
      <a:folHlink>
        <a:srgbClr val="800080"/>
      </a:folHlink>
    </a:clrScheme>
    <a:fontScheme name="Office">
      <a:majorFont>
        <a:latin typeface="Cambria"/>
        <a:ea typeface=""/>
        <a:cs typeface=""/>
        <a:font typeface="ＭＳ Ｐゴシック" script="Jpan"/>
        <a:font typeface="맑은 고딕" script="Hang"/>
        <a:font typeface="宋体" script="Hans"/>
        <a:font typeface="新細明體" script="Hant"/>
        <a:font typeface="Times New Roman" script="Arab"/>
        <a:font typeface="Times New Roman" script="Hebr"/>
        <a:font typeface="Tahoma" script="Thai"/>
        <a:font typeface="Nyala" script="Ethi"/>
        <a:font typeface="Vrinda" script="Beng"/>
        <a:font typeface="Shruti" script="Gujr"/>
        <a:font typeface="MoolBoran" script="Khmr"/>
        <a:font typeface="Tunga" script="Knda"/>
        <a:font typeface="Raavi" script="Guru"/>
        <a:font typeface="Euphemia" script="Cans"/>
        <a:font typeface="Plantagenet Cherokee" script="Cher"/>
        <a:font typeface="Microsoft Yi Baiti" script="Yiii"/>
        <a:font typeface="Microsoft Himalaya" script="Tibt"/>
        <a:font typeface="MV Boli" script="Thaa"/>
        <a:font typeface="Mangal" script="Deva"/>
        <a:font typeface="Gautami" script="Telu"/>
        <a:font typeface="Latha" script="Taml"/>
        <a:font typeface="Estrangelo Edessa" script="Syrc"/>
        <a:font typeface="Kalinga" script="Orya"/>
        <a:font typeface="Kartika" script="Mlym"/>
        <a:font typeface="DokChampa" script="Laoo"/>
        <a:font typeface="Iskoola Pota" script="Sinh"/>
        <a:font typeface="Mongolian Baiti" script="Mong"/>
        <a:font typeface="Times New Roman" script="Viet"/>
        <a:font typeface="Microsoft Uighur" script="Uigh"/>
        <a:font typeface="Sylfaen" script="Geor"/>
      </a:majorFont>
      <a:minorFont>
        <a:latin typeface="Calibri"/>
        <a:ea typeface=""/>
        <a:cs typeface=""/>
        <a:font typeface="ＭＳ Ｐゴシック" script="Jpan"/>
        <a:font typeface="맑은 고딕" script="Hang"/>
        <a:font typeface="宋体" script="Hans"/>
        <a:font typeface="新細明體" script="Hant"/>
        <a:font typeface="Arial" script="Arab"/>
        <a:font typeface="Arial" script="Hebr"/>
        <a:font typeface="Tahoma" script="Thai"/>
        <a:font typeface="Nyala" script="Ethi"/>
        <a:font typeface="Vrinda" script="Beng"/>
        <a:font typeface="Shruti" script="Gujr"/>
        <a:font typeface="DaunPenh" script="Khmr"/>
        <a:font typeface="Tunga" script="Knda"/>
        <a:font typeface="Raavi" script="Guru"/>
        <a:font typeface="Euphemia" script="Cans"/>
        <a:font typeface="Plantagenet Cherokee" script="Cher"/>
        <a:font typeface="Microsoft Yi Baiti" script="Yiii"/>
        <a:font typeface="Microsoft Himalaya" script="Tibt"/>
        <a:font typeface="MV Boli" script="Thaa"/>
        <a:font typeface="Mangal" script="Deva"/>
        <a:font typeface="Gautami" script="Telu"/>
        <a:font typeface="Latha" script="Taml"/>
        <a:font typeface="Estrangelo Edessa" script="Syrc"/>
        <a:font typeface="Kalinga" script="Orya"/>
        <a:font typeface="Kartika" script="Mlym"/>
        <a:font typeface="DokChampa" script="Laoo"/>
        <a:font typeface="Iskoola Pota" script="Sinh"/>
        <a:font typeface="Mongolian Baiti" script="Mong"/>
        <a:font typeface="Arial" script="Viet"/>
        <a:font typeface="Microsoft Uighur" script="Uigh"/>
        <a:font typeface="Sylfaen" script="Geo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satMod val="350000"/>
              </a:schemeClr>
            </a:gs>
          </a:gsLst>
          <a:lin scaled="1" ang="16200000"/>
        </a:gradFill>
        <a:gradFill rotWithShape="1">
          <a:gsLst>
            <a:gs pos="0">
              <a:schemeClr val="phClr">
                <a:tint val="51000"/>
                <a:satMod val="130000"/>
              </a:schemeClr>
            </a:gs>
            <a:gs pos="80000">
              <a:schemeClr val="phClr">
                <a:tint val="15000"/>
                <a:satMod val="130000"/>
              </a:schemeClr>
            </a:gs>
            <a:gs pos="100000">
              <a:schemeClr val="phClr">
                <a:tint val="94000"/>
                <a:satMod val="135000"/>
              </a:schemeClr>
            </a:gs>
          </a:gsLst>
          <a:lin scaled="1" ang="16200000"/>
        </a:gradFill>
      </a:fillStyleLst>
      <a:lnStyleLst>
        <a:ln algn="ctr" cmpd="sng" cap="flat" w="9525">
          <a:solidFill>
            <a:schemeClr val="phClr">
              <a:shade val="9500"/>
              <a:satMod val="105000"/>
            </a:schemeClr>
          </a:solidFill>
          <a:prstDash val="solid"/>
        </a:ln>
        <a:ln algn="ctr" cmpd="sng" cap="flat" w="25400">
          <a:solidFill>
            <a:schemeClr val="phClr"/>
          </a:solidFill>
          <a:prstDash val="solid"/>
        </a:ln>
        <a:ln algn="ctr" cmpd="sng" cap="flat" w="38100">
          <a:solidFill>
            <a:schemeClr val="phClr"/>
          </a:solidFill>
          <a:prstDash val="solid"/>
        </a:ln>
      </a:lnStyleLst>
      <a:effectStyleLst>
        <a:effectStyle>
          <a:effectLst>
            <a:outerShdw dir="5400000" rotWithShape="0" dist="23000" blurRad="40000">
              <a:srgbClr val="000000">
                <a:alpha val="38000"/>
              </a:srgbClr>
            </a:outerShdw>
          </a:effectLst>
        </a:effectStyle>
        <a:effectStyle>
          <a:effectLst>
            <a:outerShdw dir="5400000" rotWithShape="0" dist="23000" blurRad="40000">
              <a:srgbClr val="000000">
                <a:alpha val="35000"/>
              </a:srgbClr>
            </a:outerShdw>
          </a:effectLst>
        </a:effectStyle>
        <a:effectStyle>
          <a:effectLst>
            <a:outerShdw dir="5400000" rotWithShape="0" dist="23000" blurRad="40000">
              <a:srgbClr val="000000">
                <a:alpha val="35000"/>
              </a:srgbClr>
            </a:outerShdw>
          </a:effectLst>
          <a:scene3d>
            <a:camera prst="orthographicFront">
              <a:rot rev="0" lon="0" lat="0"/>
            </a:camera>
            <a:lightRig dir="t" rig="threePt">
              <a:rot rev="1200000" lon="0" lat="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tint val="20000"/>
                <a:satMod val="255000"/>
              </a:schemeClr>
            </a:gs>
          </a:gsLst>
          <a:path path="circle">
            <a:fillToRect l="50000" t="-80000" r="50000" b="180000"/>
          </a:path>
        </a:gradFill>
        <a:gradFill rotWithShape="1">
          <a:gsLst>
            <a:gs pos="0">
              <a:schemeClr val="phClr">
                <a:satMod val="300000"/>
              </a:schemeClr>
            </a:gs>
            <a:gs pos="100000">
              <a:schemeClr val="phClr">
                <a:tint val="8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heetPr>
  <dimension ref="A1:N472"/>
  <sheetViews>
    <sheetView workbookViewId="0" tabSelected="1">
      <pane state="frozen" activePane="bottomLeft" topLeftCell="A2" ySplit="1" xSplit="0"/>
    </sheetView>
  </sheetViews>
  <sheetFormatPr defaultRowHeight="15" x14ac:dyDescent="0.25"/>
  <cols>
    <col min="1" max="1" style="16" width="28.005" customWidth="1" bestFit="1"/>
    <col min="2" max="2" style="25" width="18.862142857142857" customWidth="1" bestFit="1"/>
    <col min="3" max="3" style="26" width="18.862142857142857" customWidth="1" bestFit="1"/>
    <col min="4" max="4" style="25" width="19.862142857142857" customWidth="1" bestFit="1"/>
    <col min="5" max="5" style="27" width="16.576428571428572" customWidth="1" bestFit="1"/>
    <col min="6" max="6" style="27" width="22.290714285714284" customWidth="1" bestFit="1"/>
    <col min="7" max="7" style="27" width="26.14785714285714" customWidth="1" bestFit="1"/>
    <col min="8" max="8" style="27" width="64.29071428571429" customWidth="1" bestFit="1"/>
    <col min="9" max="9" style="26" width="15.147857142857141" customWidth="1" bestFit="1"/>
    <col min="10" max="10" style="27" width="16.433571428571426" customWidth="1" bestFit="1"/>
    <col min="11" max="11" style="27" width="17.862142857142857" customWidth="1" bestFit="1"/>
    <col min="12" max="12" style="28" width="11.719285714285713" customWidth="1" bestFit="1"/>
    <col min="13" max="13" style="28" width="9.862142857142858" customWidth="1" bestFit="1"/>
    <col min="14" max="14" style="25" width="9.290714285714287" customWidth="1" bestFit="1"/>
  </cols>
  <sheetData>
    <row x14ac:dyDescent="0.25" r="1" customHeight="1" ht="18.75">
      <c r="A1" s="4" t="s">
        <v>35</v>
      </c>
      <c r="B1" s="18" t="s">
        <v>4</v>
      </c>
      <c r="C1" s="19" t="s">
        <v>7</v>
      </c>
      <c r="D1" s="18" t="s">
        <v>10</v>
      </c>
      <c r="E1" s="20" t="s">
        <v>12</v>
      </c>
      <c r="F1" s="20" t="s">
        <v>15</v>
      </c>
      <c r="G1" s="20" t="s">
        <v>17</v>
      </c>
      <c r="H1" s="20" t="s">
        <v>19</v>
      </c>
      <c r="I1" s="19" t="s">
        <v>21</v>
      </c>
      <c r="J1" s="20" t="s">
        <v>24</v>
      </c>
      <c r="K1" s="20" t="s">
        <v>26</v>
      </c>
      <c r="L1" s="21" t="s">
        <v>28</v>
      </c>
      <c r="M1" s="21" t="s">
        <v>30</v>
      </c>
      <c r="N1" s="18" t="s">
        <v>33</v>
      </c>
    </row>
    <row x14ac:dyDescent="0.25" r="2" customHeight="1" ht="18.75">
      <c r="A2" s="4" t="s">
        <v>36</v>
      </c>
      <c r="B2" s="22">
        <v>210000</v>
      </c>
      <c r="C2" s="23">
        <f>6384.7 + 669.82</f>
      </c>
      <c r="D2" s="18"/>
      <c r="E2" s="23">
        <v>187.1</v>
      </c>
      <c r="F2" s="22">
        <v>450000</v>
      </c>
      <c r="G2" s="22">
        <v>37</v>
      </c>
      <c r="H2" s="22">
        <v>145000</v>
      </c>
      <c r="I2" s="19"/>
      <c r="J2" s="20"/>
      <c r="K2" s="22">
        <v>181680</v>
      </c>
      <c r="L2" s="22">
        <v>17100</v>
      </c>
      <c r="M2" s="22">
        <v>2</v>
      </c>
      <c r="N2" s="18"/>
    </row>
    <row x14ac:dyDescent="0.25" r="3" customHeight="1" ht="18.75">
      <c r="A3" s="4" t="s">
        <v>37</v>
      </c>
      <c r="B3" s="23">
        <v>38515.93</v>
      </c>
      <c r="C3" s="19"/>
      <c r="D3" s="23">
        <v>16437.72</v>
      </c>
      <c r="E3" s="20"/>
      <c r="F3" s="20"/>
      <c r="G3" s="20"/>
      <c r="H3" s="20"/>
      <c r="I3" s="19"/>
      <c r="J3" s="20"/>
      <c r="K3" s="22">
        <v>20000</v>
      </c>
      <c r="L3" s="21"/>
      <c r="M3" s="22">
        <v>4</v>
      </c>
      <c r="N3" s="23">
        <v>119495.3</v>
      </c>
    </row>
    <row x14ac:dyDescent="0.25" r="4" customHeight="1" ht="18.75">
      <c r="A4" s="4" t="s">
        <v>38</v>
      </c>
      <c r="B4" s="22">
        <v>55000</v>
      </c>
      <c r="C4" s="23">
        <v>28365.81</v>
      </c>
      <c r="D4" s="22">
        <f>15600+554200</f>
      </c>
      <c r="E4" s="20" t="s">
        <v>39</v>
      </c>
      <c r="F4" s="20" t="s">
        <v>40</v>
      </c>
      <c r="G4" s="20"/>
      <c r="H4" s="20"/>
      <c r="I4" s="19"/>
      <c r="J4" s="20"/>
      <c r="K4" s="20"/>
      <c r="L4" s="21"/>
      <c r="M4" s="22">
        <v>0</v>
      </c>
      <c r="N4" s="18"/>
    </row>
    <row x14ac:dyDescent="0.25" r="5" customHeight="1" ht="18.75">
      <c r="A5" s="4" t="s">
        <v>41</v>
      </c>
      <c r="B5" s="23">
        <v>513524.52</v>
      </c>
      <c r="C5" s="23">
        <v>28077.07</v>
      </c>
      <c r="D5" s="18"/>
      <c r="E5" s="22">
        <v>120</v>
      </c>
      <c r="F5" s="22">
        <v>600000</v>
      </c>
      <c r="G5" s="20"/>
      <c r="H5" s="20"/>
      <c r="I5" s="19"/>
      <c r="J5" s="20"/>
      <c r="K5" s="22">
        <v>2683298</v>
      </c>
      <c r="L5" s="21"/>
      <c r="M5" s="22">
        <v>0</v>
      </c>
      <c r="N5" s="18"/>
    </row>
    <row x14ac:dyDescent="0.25" r="6" customHeight="1" ht="18.75">
      <c r="A6" s="4" t="s">
        <v>42</v>
      </c>
      <c r="B6" s="22">
        <v>430000</v>
      </c>
      <c r="C6" s="23">
        <f>8926.56+13976.98</f>
      </c>
      <c r="D6" s="18"/>
      <c r="E6" s="22">
        <v>600</v>
      </c>
      <c r="F6" s="22">
        <v>2000000</v>
      </c>
      <c r="G6" s="20"/>
      <c r="H6" s="20"/>
      <c r="I6" s="23">
        <v>140.7</v>
      </c>
      <c r="J6" s="22">
        <v>8400000</v>
      </c>
      <c r="K6" s="22">
        <v>11500000</v>
      </c>
      <c r="L6" s="22">
        <v>111418</v>
      </c>
      <c r="M6" s="22">
        <v>0</v>
      </c>
      <c r="N6" s="18"/>
    </row>
    <row x14ac:dyDescent="0.25" r="7" customHeight="1" ht="18.75">
      <c r="A7" s="4" t="s">
        <v>43</v>
      </c>
      <c r="B7" s="22">
        <v>242000</v>
      </c>
      <c r="C7" s="23">
        <v>27534.77</v>
      </c>
      <c r="D7" s="18"/>
      <c r="E7" s="20"/>
      <c r="F7" s="20"/>
      <c r="G7" s="20"/>
      <c r="H7" s="20"/>
      <c r="I7" s="19"/>
      <c r="J7" s="20"/>
      <c r="K7" s="20"/>
      <c r="L7" s="21"/>
      <c r="M7" s="22">
        <v>0</v>
      </c>
      <c r="N7" s="18"/>
    </row>
    <row x14ac:dyDescent="0.25" r="8" customHeight="1" ht="18.75">
      <c r="A8" s="4" t="s">
        <v>44</v>
      </c>
      <c r="B8" s="22">
        <v>863000</v>
      </c>
      <c r="C8" s="23">
        <v>16526.43</v>
      </c>
      <c r="D8" s="23">
        <v>22770.63</v>
      </c>
      <c r="E8" s="20"/>
      <c r="F8" s="20"/>
      <c r="G8" s="23">
        <v>85.3</v>
      </c>
      <c r="H8" s="22">
        <v>367000</v>
      </c>
      <c r="I8" s="19"/>
      <c r="J8" s="20"/>
      <c r="K8" s="20"/>
      <c r="L8" s="21"/>
      <c r="M8" s="22">
        <v>1</v>
      </c>
      <c r="N8" s="18"/>
    </row>
    <row x14ac:dyDescent="0.25" r="9" customHeight="1" ht="18.75">
      <c r="A9" s="4" t="s">
        <v>45</v>
      </c>
      <c r="B9" s="22">
        <v>23420</v>
      </c>
      <c r="C9" s="23">
        <f>73194.82+8788.78</f>
      </c>
      <c r="D9" s="23">
        <v>2058511.91</v>
      </c>
      <c r="E9" s="22">
        <v>175</v>
      </c>
      <c r="F9" s="22">
        <v>1000000</v>
      </c>
      <c r="G9" s="20"/>
      <c r="H9" s="20"/>
      <c r="I9" s="19"/>
      <c r="J9" s="20"/>
      <c r="K9" s="20"/>
      <c r="L9" s="21"/>
      <c r="M9" s="22">
        <v>1</v>
      </c>
      <c r="N9" s="18"/>
    </row>
    <row x14ac:dyDescent="0.25" r="10" customHeight="1" ht="18.75">
      <c r="A10" s="4" t="s">
        <v>46</v>
      </c>
      <c r="B10" s="22">
        <v>45000</v>
      </c>
      <c r="C10" s="19"/>
      <c r="D10" s="18"/>
      <c r="E10" s="22">
        <v>200</v>
      </c>
      <c r="F10" s="22">
        <v>444000</v>
      </c>
      <c r="G10" s="20"/>
      <c r="H10" s="20"/>
      <c r="I10" s="22">
        <v>14</v>
      </c>
      <c r="J10" s="22">
        <v>1600000</v>
      </c>
      <c r="K10" s="20"/>
      <c r="L10" s="21"/>
      <c r="M10" s="22">
        <v>1</v>
      </c>
      <c r="N10" s="18"/>
    </row>
    <row x14ac:dyDescent="0.25" r="11" customHeight="1" ht="18.75">
      <c r="A11" s="4" t="s">
        <v>47</v>
      </c>
      <c r="B11" s="23">
        <v>28333.33</v>
      </c>
      <c r="C11" s="19"/>
      <c r="D11" s="23">
        <v>5715.89</v>
      </c>
      <c r="E11" s="20"/>
      <c r="F11" s="20"/>
      <c r="G11" s="23">
        <v>67.5</v>
      </c>
      <c r="H11" s="22">
        <v>320000</v>
      </c>
      <c r="I11" s="19"/>
      <c r="J11" s="20"/>
      <c r="K11" s="22">
        <v>340000</v>
      </c>
      <c r="L11" s="23">
        <v>7778.87</v>
      </c>
      <c r="M11" s="22">
        <v>1</v>
      </c>
      <c r="N11" s="23">
        <v>191409.39</v>
      </c>
    </row>
    <row x14ac:dyDescent="0.25" r="12" customHeight="1" ht="18.75">
      <c r="A12" s="4" t="s">
        <v>48</v>
      </c>
      <c r="B12" s="22">
        <v>110000</v>
      </c>
      <c r="C12" s="19"/>
      <c r="D12" s="18"/>
      <c r="E12" s="22">
        <v>170</v>
      </c>
      <c r="F12" s="22">
        <v>300000</v>
      </c>
      <c r="G12" s="20"/>
      <c r="H12" s="20"/>
      <c r="I12" s="19"/>
      <c r="J12" s="20"/>
      <c r="K12" s="22">
        <v>40000</v>
      </c>
      <c r="L12" s="21"/>
      <c r="M12" s="22">
        <v>2</v>
      </c>
      <c r="N12" s="22">
        <v>67850</v>
      </c>
    </row>
    <row x14ac:dyDescent="0.25" r="13" customHeight="1" ht="18.75">
      <c r="A13" s="4" t="s">
        <v>49</v>
      </c>
      <c r="B13" s="18"/>
      <c r="C13" s="19"/>
      <c r="D13" s="18"/>
      <c r="E13" s="22">
        <v>80</v>
      </c>
      <c r="F13" s="22">
        <v>100000</v>
      </c>
      <c r="G13" s="22">
        <v>37</v>
      </c>
      <c r="H13" s="22">
        <v>100000</v>
      </c>
      <c r="I13" s="23">
        <v>1.56</v>
      </c>
      <c r="J13" s="22">
        <v>20000</v>
      </c>
      <c r="K13" s="20"/>
      <c r="L13" s="21"/>
      <c r="M13" s="22">
        <v>2</v>
      </c>
      <c r="N13" s="22">
        <v>38975</v>
      </c>
    </row>
    <row x14ac:dyDescent="0.25" r="14" customHeight="1" ht="18.75">
      <c r="A14" s="4" t="s">
        <v>50</v>
      </c>
      <c r="B14" s="23">
        <v>361125.22</v>
      </c>
      <c r="C14" s="19"/>
      <c r="D14" s="18"/>
      <c r="E14" s="20"/>
      <c r="F14" s="20"/>
      <c r="G14" s="20" t="s">
        <v>51</v>
      </c>
      <c r="H14" s="20" t="s">
        <v>52</v>
      </c>
      <c r="I14" s="19"/>
      <c r="J14" s="20"/>
      <c r="K14" s="20"/>
      <c r="L14" s="21"/>
      <c r="M14" s="22">
        <v>1</v>
      </c>
      <c r="N14" s="18"/>
    </row>
    <row x14ac:dyDescent="0.25" r="15" customHeight="1" ht="18.75">
      <c r="A15" s="4" t="s">
        <v>53</v>
      </c>
      <c r="B15" s="22">
        <v>346000</v>
      </c>
      <c r="C15" s="19"/>
      <c r="D15" s="22">
        <v>36000</v>
      </c>
      <c r="E15" s="22">
        <v>198</v>
      </c>
      <c r="F15" s="22">
        <v>400000</v>
      </c>
      <c r="G15" s="20"/>
      <c r="H15" s="20"/>
      <c r="I15" s="19"/>
      <c r="J15" s="20"/>
      <c r="K15" s="22">
        <v>30000</v>
      </c>
      <c r="L15" s="21"/>
      <c r="M15" s="22">
        <v>1</v>
      </c>
      <c r="N15" s="18"/>
    </row>
    <row x14ac:dyDescent="0.25" r="16" customHeight="1" ht="18.75">
      <c r="A16" s="4" t="s">
        <v>54</v>
      </c>
      <c r="B16" s="23">
        <v>94409.85</v>
      </c>
      <c r="C16" s="19"/>
      <c r="D16" s="18"/>
      <c r="E16" s="20"/>
      <c r="F16" s="20"/>
      <c r="G16" s="22">
        <v>62</v>
      </c>
      <c r="H16" s="22">
        <f>270000+15000</f>
      </c>
      <c r="I16" s="19"/>
      <c r="J16" s="20"/>
      <c r="K16" s="22">
        <f>450000+26000</f>
      </c>
      <c r="L16" s="21"/>
      <c r="M16" s="22">
        <v>1</v>
      </c>
      <c r="N16" s="23">
        <v>379721.57</v>
      </c>
    </row>
    <row x14ac:dyDescent="0.25" r="17" customHeight="1" ht="18.75">
      <c r="A17" s="4" t="s">
        <v>55</v>
      </c>
      <c r="B17" s="22">
        <v>135000</v>
      </c>
      <c r="C17" s="23">
        <f>18115.19+19736.37</f>
      </c>
      <c r="D17" s="18"/>
      <c r="E17" s="22">
        <v>220</v>
      </c>
      <c r="F17" s="22">
        <v>220000</v>
      </c>
      <c r="G17" s="20"/>
      <c r="H17" s="20"/>
      <c r="I17" s="23">
        <v>10.81</v>
      </c>
      <c r="J17" s="22">
        <v>360000</v>
      </c>
      <c r="K17" s="20"/>
      <c r="L17" s="21"/>
      <c r="M17" s="22">
        <v>4</v>
      </c>
      <c r="N17" s="22">
        <v>25500</v>
      </c>
    </row>
    <row x14ac:dyDescent="0.25" r="18" customHeight="1" ht="18.75">
      <c r="A18" s="4" t="s">
        <v>56</v>
      </c>
      <c r="B18" s="23">
        <v>4209.34</v>
      </c>
      <c r="C18" s="23">
        <v>27318.82</v>
      </c>
      <c r="D18" s="18"/>
      <c r="E18" s="20"/>
      <c r="F18" s="20"/>
      <c r="G18" s="20"/>
      <c r="H18" s="20"/>
      <c r="I18" s="19"/>
      <c r="J18" s="20"/>
      <c r="K18" s="22">
        <v>500000</v>
      </c>
      <c r="L18" s="23">
        <v>6251.7</v>
      </c>
      <c r="M18" s="22">
        <v>0</v>
      </c>
      <c r="N18" s="22">
        <v>72477</v>
      </c>
    </row>
    <row x14ac:dyDescent="0.25" r="19" customHeight="1" ht="18.75">
      <c r="A19" s="4" t="s">
        <v>57</v>
      </c>
      <c r="B19" s="23">
        <v>54940.17</v>
      </c>
      <c r="C19" s="19"/>
      <c r="D19" s="18"/>
      <c r="E19" s="22">
        <v>120</v>
      </c>
      <c r="F19" s="22">
        <v>400000</v>
      </c>
      <c r="G19" s="23">
        <v>78.71</v>
      </c>
      <c r="H19" s="22">
        <v>450000</v>
      </c>
      <c r="I19" s="23">
        <v>2.9448</v>
      </c>
      <c r="J19" s="22">
        <v>250000</v>
      </c>
      <c r="K19" s="20"/>
      <c r="L19" s="21"/>
      <c r="M19" s="22">
        <v>1</v>
      </c>
      <c r="N19" s="18"/>
    </row>
    <row x14ac:dyDescent="0.25" r="20" customHeight="1" ht="18.75">
      <c r="A20" s="4" t="s">
        <v>58</v>
      </c>
      <c r="B20" s="22">
        <v>17621</v>
      </c>
      <c r="C20" s="23">
        <v>20907.12</v>
      </c>
      <c r="D20" s="18"/>
      <c r="E20" s="22">
        <v>80</v>
      </c>
      <c r="F20" s="22">
        <v>160000</v>
      </c>
      <c r="G20" s="20"/>
      <c r="H20" s="20"/>
      <c r="I20" s="23">
        <v>18.78</v>
      </c>
      <c r="J20" s="22">
        <v>127000</v>
      </c>
      <c r="K20" s="22">
        <v>140000</v>
      </c>
      <c r="L20" s="21"/>
      <c r="M20" s="22">
        <v>1</v>
      </c>
      <c r="N20" s="22">
        <v>185114</v>
      </c>
    </row>
    <row x14ac:dyDescent="0.25" r="21" customHeight="1" ht="18.75">
      <c r="A21" s="4" t="s">
        <v>59</v>
      </c>
      <c r="B21" s="18"/>
      <c r="C21" s="19"/>
      <c r="D21" s="18"/>
      <c r="E21" s="22">
        <v>148</v>
      </c>
      <c r="F21" s="22">
        <v>290000</v>
      </c>
      <c r="G21" s="20"/>
      <c r="H21" s="20"/>
      <c r="I21" s="19"/>
      <c r="J21" s="20"/>
      <c r="K21" s="22">
        <v>7000</v>
      </c>
      <c r="L21" s="21"/>
      <c r="M21" s="22">
        <v>1</v>
      </c>
      <c r="N21" s="22">
        <v>17000</v>
      </c>
    </row>
    <row x14ac:dyDescent="0.25" r="22" customHeight="1" ht="18.75">
      <c r="A22" s="4" t="s">
        <v>60</v>
      </c>
      <c r="B22" s="22">
        <v>248000</v>
      </c>
      <c r="C22" s="19"/>
      <c r="D22" s="18"/>
      <c r="E22" s="20"/>
      <c r="F22" s="20"/>
      <c r="G22" s="22">
        <v>83</v>
      </c>
      <c r="H22" s="22">
        <v>200000</v>
      </c>
      <c r="I22" s="19"/>
      <c r="J22" s="20"/>
      <c r="K22" s="22">
        <v>130000</v>
      </c>
      <c r="L22" s="21"/>
      <c r="M22" s="22">
        <v>2</v>
      </c>
      <c r="N22" s="22">
        <f>1107080+70000+13000+35800</f>
      </c>
    </row>
    <row x14ac:dyDescent="0.25" r="23" customHeight="1" ht="18.75">
      <c r="A23" s="4" t="s">
        <v>61</v>
      </c>
      <c r="B23" s="22">
        <v>142000</v>
      </c>
      <c r="C23" s="19"/>
      <c r="D23" s="18"/>
      <c r="E23" s="20"/>
      <c r="F23" s="20"/>
      <c r="G23" s="20"/>
      <c r="H23" s="20"/>
      <c r="I23" s="19"/>
      <c r="J23" s="20"/>
      <c r="K23" s="20"/>
      <c r="L23" s="21"/>
      <c r="M23" s="22">
        <v>1</v>
      </c>
      <c r="N23" s="18"/>
    </row>
    <row x14ac:dyDescent="0.25" r="24" customHeight="1" ht="18.75">
      <c r="A24" s="4" t="s">
        <v>62</v>
      </c>
      <c r="B24" s="23">
        <v>19222.22</v>
      </c>
      <c r="C24" s="23">
        <v>453.56</v>
      </c>
      <c r="D24" s="18"/>
      <c r="E24" s="20"/>
      <c r="F24" s="20"/>
      <c r="G24" s="22">
        <v>90</v>
      </c>
      <c r="H24" s="22">
        <v>1000000</v>
      </c>
      <c r="I24" s="19"/>
      <c r="J24" s="20"/>
      <c r="K24" s="20"/>
      <c r="L24" s="21"/>
      <c r="M24" s="22">
        <v>1</v>
      </c>
      <c r="N24" s="18"/>
    </row>
    <row x14ac:dyDescent="0.25" r="25" customHeight="1" ht="18.75">
      <c r="A25" s="4" t="s">
        <v>63</v>
      </c>
      <c r="B25" s="22">
        <v>426000</v>
      </c>
      <c r="C25" s="23">
        <f>8832.29+8816.8</f>
      </c>
      <c r="D25" s="22">
        <v>55000</v>
      </c>
      <c r="E25" s="22">
        <v>150</v>
      </c>
      <c r="F25" s="22">
        <v>500000</v>
      </c>
      <c r="G25" s="20"/>
      <c r="H25" s="20"/>
      <c r="I25" s="19"/>
      <c r="J25" s="20"/>
      <c r="K25" s="22">
        <v>270000</v>
      </c>
      <c r="L25" s="21"/>
      <c r="M25" s="22">
        <v>2</v>
      </c>
      <c r="N25" s="18"/>
    </row>
    <row x14ac:dyDescent="0.25" r="26" customHeight="1" ht="18.75">
      <c r="A26" s="4" t="s">
        <v>64</v>
      </c>
      <c r="B26" s="22">
        <v>503400</v>
      </c>
      <c r="C26" s="23">
        <f>30875.74+5579.02</f>
      </c>
      <c r="D26" s="18"/>
      <c r="E26" s="22">
        <v>253</v>
      </c>
      <c r="F26" s="22">
        <v>700000</v>
      </c>
      <c r="G26" s="20"/>
      <c r="H26" s="20"/>
      <c r="I26" s="19"/>
      <c r="J26" s="20"/>
      <c r="K26" s="22">
        <v>90000</v>
      </c>
      <c r="L26" s="21"/>
      <c r="M26" s="22">
        <v>1</v>
      </c>
      <c r="N26" s="23">
        <v>13020.65</v>
      </c>
    </row>
    <row x14ac:dyDescent="0.25" r="27" customHeight="1" ht="18.75">
      <c r="A27" s="4" t="s">
        <v>65</v>
      </c>
      <c r="B27" s="22">
        <v>320000</v>
      </c>
      <c r="C27" s="23">
        <v>929.63</v>
      </c>
      <c r="D27" s="22">
        <v>40000</v>
      </c>
      <c r="E27" s="23">
        <v>155.78</v>
      </c>
      <c r="F27" s="22">
        <v>500000</v>
      </c>
      <c r="G27" s="23">
        <v>49.23</v>
      </c>
      <c r="H27" s="22">
        <v>150000</v>
      </c>
      <c r="I27" s="19"/>
      <c r="J27" s="20"/>
      <c r="K27" s="22">
        <v>250000</v>
      </c>
      <c r="L27" s="21"/>
      <c r="M27" s="22">
        <v>1</v>
      </c>
      <c r="N27" s="18"/>
    </row>
    <row x14ac:dyDescent="0.25" r="28" customHeight="1" ht="18.75">
      <c r="A28" s="4" t="s">
        <v>66</v>
      </c>
      <c r="B28" s="22">
        <v>36600</v>
      </c>
      <c r="C28" s="23">
        <v>464.86</v>
      </c>
      <c r="D28" s="18"/>
      <c r="E28" s="20"/>
      <c r="F28" s="20"/>
      <c r="G28" s="20"/>
      <c r="H28" s="20"/>
      <c r="I28" s="19"/>
      <c r="J28" s="20"/>
      <c r="K28" s="22">
        <v>3000</v>
      </c>
      <c r="L28" s="21"/>
      <c r="M28" s="22">
        <v>1</v>
      </c>
      <c r="N28" s="18"/>
    </row>
    <row x14ac:dyDescent="0.25" r="29" customHeight="1" ht="18.75">
      <c r="A29" s="4" t="s">
        <v>67</v>
      </c>
      <c r="B29" s="22">
        <v>280000</v>
      </c>
      <c r="C29" s="19"/>
      <c r="D29" s="18"/>
      <c r="E29" s="20"/>
      <c r="F29" s="20"/>
      <c r="G29" s="20"/>
      <c r="H29" s="20"/>
      <c r="I29" s="19"/>
      <c r="J29" s="20"/>
      <c r="K29" s="20"/>
      <c r="L29" s="21"/>
      <c r="M29" s="22">
        <v>0</v>
      </c>
      <c r="N29" s="18"/>
    </row>
    <row x14ac:dyDescent="0.25" r="30" customHeight="1" ht="18.75">
      <c r="A30" s="4" t="s">
        <v>68</v>
      </c>
      <c r="B30" s="23">
        <f>60000+12530.38</f>
      </c>
      <c r="C30" s="19"/>
      <c r="D30" s="18"/>
      <c r="E30" s="20"/>
      <c r="F30" s="20"/>
      <c r="G30" s="20"/>
      <c r="H30" s="20"/>
      <c r="I30" s="19"/>
      <c r="J30" s="20"/>
      <c r="K30" s="20"/>
      <c r="L30" s="21"/>
      <c r="M30" s="22">
        <v>2</v>
      </c>
      <c r="N30" s="22">
        <v>30000</v>
      </c>
    </row>
    <row x14ac:dyDescent="0.25" r="31" customHeight="1" ht="18.75">
      <c r="A31" s="4" t="s">
        <v>69</v>
      </c>
      <c r="B31" s="22">
        <f>300000+134000</f>
      </c>
      <c r="C31" s="19"/>
      <c r="D31" s="18"/>
      <c r="E31" s="22">
        <v>150</v>
      </c>
      <c r="F31" s="22">
        <v>430000</v>
      </c>
      <c r="G31" s="23">
        <v>41.13</v>
      </c>
      <c r="H31" s="22">
        <v>294000</v>
      </c>
      <c r="I31" s="19"/>
      <c r="J31" s="20"/>
      <c r="K31" s="22">
        <v>66000</v>
      </c>
      <c r="L31" s="21"/>
      <c r="M31" s="22">
        <v>1</v>
      </c>
      <c r="N31" s="18"/>
    </row>
    <row x14ac:dyDescent="0.25" r="32" customHeight="1" ht="18.75">
      <c r="A32" s="4" t="s">
        <v>70</v>
      </c>
      <c r="B32" s="22">
        <v>50000</v>
      </c>
      <c r="C32" s="23">
        <f>18591.14+11282.46</f>
      </c>
      <c r="D32" s="18"/>
      <c r="E32" s="22">
        <v>200</v>
      </c>
      <c r="F32" s="22">
        <v>700000</v>
      </c>
      <c r="G32" s="22">
        <v>74</v>
      </c>
      <c r="H32" s="22">
        <v>700000</v>
      </c>
      <c r="I32" s="19"/>
      <c r="J32" s="20"/>
      <c r="K32" s="20"/>
      <c r="L32" s="21"/>
      <c r="M32" s="22">
        <v>3</v>
      </c>
      <c r="N32" s="22">
        <v>425000</v>
      </c>
    </row>
    <row x14ac:dyDescent="0.25" r="33" customHeight="1" ht="18.75">
      <c r="A33" s="4" t="s">
        <v>71</v>
      </c>
      <c r="B33" s="22">
        <v>8000</v>
      </c>
      <c r="C33" s="19"/>
      <c r="D33" s="18"/>
      <c r="E33" s="22">
        <v>220</v>
      </c>
      <c r="F33" s="22">
        <v>75000</v>
      </c>
      <c r="G33" s="20"/>
      <c r="H33" s="20"/>
      <c r="I33" s="23">
        <v>43.55</v>
      </c>
      <c r="J33" s="20"/>
      <c r="K33" s="22">
        <v>1000000</v>
      </c>
      <c r="L33" s="21"/>
      <c r="M33" s="22">
        <v>1</v>
      </c>
      <c r="N33" s="23">
        <f>551185.77+270000</f>
      </c>
    </row>
    <row x14ac:dyDescent="0.25" r="34" customHeight="1" ht="18.75">
      <c r="A34" s="4" t="s">
        <v>72</v>
      </c>
      <c r="B34" s="22">
        <v>75606</v>
      </c>
      <c r="C34" s="19"/>
      <c r="D34" s="18"/>
      <c r="E34" s="23">
        <v>76.4</v>
      </c>
      <c r="F34" s="22">
        <v>275000</v>
      </c>
      <c r="G34" s="23">
        <v>61.7</v>
      </c>
      <c r="H34" s="22">
        <v>170000</v>
      </c>
      <c r="I34" s="19"/>
      <c r="J34" s="20"/>
      <c r="K34" s="20"/>
      <c r="L34" s="21"/>
      <c r="M34" s="22">
        <v>1</v>
      </c>
      <c r="N34" s="18"/>
    </row>
    <row x14ac:dyDescent="0.25" r="35" customHeight="1" ht="18.75">
      <c r="A35" s="4" t="s">
        <v>73</v>
      </c>
      <c r="B35" s="23">
        <v>36877.27</v>
      </c>
      <c r="C35" s="19"/>
      <c r="D35" s="18"/>
      <c r="E35" s="20"/>
      <c r="F35" s="20"/>
      <c r="G35" s="20"/>
      <c r="H35" s="20"/>
      <c r="I35" s="19"/>
      <c r="J35" s="20"/>
      <c r="K35" s="20"/>
      <c r="L35" s="21"/>
      <c r="M35" s="22">
        <v>1</v>
      </c>
      <c r="N35" s="18"/>
    </row>
    <row x14ac:dyDescent="0.25" r="36" customHeight="1" ht="18.75">
      <c r="A36" s="4" t="s">
        <v>74</v>
      </c>
      <c r="B36" s="22">
        <v>4576</v>
      </c>
      <c r="C36" s="23">
        <v>56.34</v>
      </c>
      <c r="D36" s="18"/>
      <c r="E36" s="20"/>
      <c r="F36" s="20"/>
      <c r="G36" s="20"/>
      <c r="H36" s="20"/>
      <c r="I36" s="19"/>
      <c r="J36" s="20"/>
      <c r="K36" s="20"/>
      <c r="L36" s="21"/>
      <c r="M36" s="22">
        <v>0</v>
      </c>
      <c r="N36" s="18"/>
    </row>
    <row x14ac:dyDescent="0.25" r="37" customHeight="1" ht="18.75">
      <c r="A37" s="4" t="s">
        <v>75</v>
      </c>
      <c r="B37" s="23">
        <v>8211.49</v>
      </c>
      <c r="C37" s="19"/>
      <c r="D37" s="18"/>
      <c r="E37" s="22">
        <v>147</v>
      </c>
      <c r="F37" s="22">
        <v>600000</v>
      </c>
      <c r="G37" s="22">
        <v>54</v>
      </c>
      <c r="H37" s="22">
        <v>250000</v>
      </c>
      <c r="I37" s="19"/>
      <c r="J37" s="20"/>
      <c r="K37" s="20"/>
      <c r="L37" s="21"/>
      <c r="M37" s="22">
        <v>1</v>
      </c>
      <c r="N37" s="23">
        <v>554473.99</v>
      </c>
    </row>
    <row x14ac:dyDescent="0.25" r="38" customHeight="1" ht="18.75">
      <c r="A38" s="4" t="s">
        <v>76</v>
      </c>
      <c r="B38" s="22">
        <v>100000</v>
      </c>
      <c r="C38" s="23">
        <v>440.65</v>
      </c>
      <c r="D38" s="18"/>
      <c r="E38" s="23">
        <v>291.4</v>
      </c>
      <c r="F38" s="22">
        <v>1100000</v>
      </c>
      <c r="G38" s="20" t="s">
        <v>77</v>
      </c>
      <c r="H38" s="20" t="s">
        <v>78</v>
      </c>
      <c r="I38" s="19"/>
      <c r="J38" s="20"/>
      <c r="K38" s="20"/>
      <c r="L38" s="21"/>
      <c r="M38" s="22">
        <v>2</v>
      </c>
      <c r="N38" s="23">
        <v>148434.67</v>
      </c>
    </row>
    <row x14ac:dyDescent="0.25" r="39" customHeight="1" ht="18.75">
      <c r="A39" s="4" t="s">
        <v>79</v>
      </c>
      <c r="B39" s="22">
        <v>39500</v>
      </c>
      <c r="C39" s="19"/>
      <c r="D39" s="22">
        <v>9708</v>
      </c>
      <c r="E39" s="22">
        <v>120</v>
      </c>
      <c r="F39" s="22">
        <v>380000</v>
      </c>
      <c r="G39" s="22">
        <v>70</v>
      </c>
      <c r="H39" s="22">
        <v>320000</v>
      </c>
      <c r="I39" s="19"/>
      <c r="J39" s="20"/>
      <c r="K39" s="22">
        <v>520000</v>
      </c>
      <c r="L39" s="21"/>
      <c r="M39" s="22">
        <v>3</v>
      </c>
      <c r="N39" s="23">
        <f>20733.1+11108.19+20400</f>
      </c>
    </row>
    <row x14ac:dyDescent="0.25" r="40" customHeight="1" ht="18.75">
      <c r="A40" s="4" t="s">
        <v>80</v>
      </c>
      <c r="B40" s="23">
        <f>62727+153335.3</f>
      </c>
      <c r="C40" s="19"/>
      <c r="D40" s="18"/>
      <c r="E40" s="22">
        <v>170</v>
      </c>
      <c r="F40" s="22">
        <v>400000</v>
      </c>
      <c r="G40" s="20"/>
      <c r="H40" s="20"/>
      <c r="I40" s="23">
        <v>2.7546</v>
      </c>
      <c r="J40" s="22">
        <v>28000</v>
      </c>
      <c r="K40" s="20"/>
      <c r="L40" s="21"/>
      <c r="M40" s="22">
        <v>2</v>
      </c>
      <c r="N40" s="18"/>
    </row>
    <row x14ac:dyDescent="0.25" r="41" customHeight="1" ht="18.75">
      <c r="A41" s="4" t="s">
        <v>81</v>
      </c>
      <c r="B41" s="22">
        <v>85000</v>
      </c>
      <c r="C41" s="19"/>
      <c r="D41" s="18"/>
      <c r="E41" s="20"/>
      <c r="F41" s="20"/>
      <c r="G41" s="22">
        <v>74</v>
      </c>
      <c r="H41" s="22">
        <v>450000</v>
      </c>
      <c r="I41" s="19"/>
      <c r="J41" s="20"/>
      <c r="K41" s="20"/>
      <c r="L41" s="22">
        <f>25*1000</f>
      </c>
      <c r="M41" s="22">
        <v>2</v>
      </c>
      <c r="N41" s="22">
        <v>14884</v>
      </c>
    </row>
    <row x14ac:dyDescent="0.25" r="42" customHeight="1" ht="18.75">
      <c r="A42" s="4" t="s">
        <v>82</v>
      </c>
      <c r="B42" s="22">
        <v>655000</v>
      </c>
      <c r="C42" s="19"/>
      <c r="D42" s="18"/>
      <c r="E42" s="20"/>
      <c r="F42" s="20"/>
      <c r="G42" s="22">
        <v>79</v>
      </c>
      <c r="H42" s="22">
        <v>780000</v>
      </c>
      <c r="I42" s="19"/>
      <c r="J42" s="20"/>
      <c r="K42" s="22">
        <v>50000</v>
      </c>
      <c r="L42" s="21"/>
      <c r="M42" s="22">
        <v>1</v>
      </c>
      <c r="N42" s="22">
        <v>35000</v>
      </c>
    </row>
    <row x14ac:dyDescent="0.25" r="43" customHeight="1" ht="18.75">
      <c r="A43" s="4" t="s">
        <v>83</v>
      </c>
      <c r="B43" s="22">
        <v>905000</v>
      </c>
      <c r="C43" s="23">
        <f>1608.71+13476.99+9446.19+55.03</f>
      </c>
      <c r="D43" s="18"/>
      <c r="E43" s="22">
        <v>120</v>
      </c>
      <c r="F43" s="22">
        <v>270000</v>
      </c>
      <c r="G43" s="20"/>
      <c r="H43" s="20"/>
      <c r="I43" s="19"/>
      <c r="J43" s="20"/>
      <c r="K43" s="22">
        <v>55000</v>
      </c>
      <c r="L43" s="21"/>
      <c r="M43" s="22">
        <v>2</v>
      </c>
      <c r="N43" s="18"/>
    </row>
    <row x14ac:dyDescent="0.25" r="44" customHeight="1" ht="18.75">
      <c r="A44" s="4" t="s">
        <v>84</v>
      </c>
      <c r="B44" s="22">
        <v>10000</v>
      </c>
      <c r="C44" s="19"/>
      <c r="D44" s="18"/>
      <c r="E44" s="20"/>
      <c r="F44" s="20"/>
      <c r="G44" s="23">
        <v>87.9</v>
      </c>
      <c r="H44" s="22">
        <v>250000</v>
      </c>
      <c r="I44" s="19"/>
      <c r="J44" s="20"/>
      <c r="K44" s="22">
        <v>25000</v>
      </c>
      <c r="L44" s="21"/>
      <c r="M44" s="22">
        <v>2</v>
      </c>
      <c r="N44" s="23">
        <v>186707.91</v>
      </c>
    </row>
    <row x14ac:dyDescent="0.25" r="45" customHeight="1" ht="18.75">
      <c r="A45" s="4" t="s">
        <v>85</v>
      </c>
      <c r="B45" s="22">
        <v>4000</v>
      </c>
      <c r="C45" s="19"/>
      <c r="D45" s="18"/>
      <c r="E45" s="20"/>
      <c r="F45" s="20"/>
      <c r="G45" s="22">
        <v>92</v>
      </c>
      <c r="H45" s="22">
        <v>600000</v>
      </c>
      <c r="I45" s="19"/>
      <c r="J45" s="20"/>
      <c r="K45" s="22">
        <v>298000</v>
      </c>
      <c r="L45" s="21"/>
      <c r="M45" s="22">
        <v>1</v>
      </c>
      <c r="N45" s="23">
        <v>310956.1</v>
      </c>
    </row>
    <row x14ac:dyDescent="0.25" r="46" customHeight="1" ht="18.75">
      <c r="A46" s="4" t="s">
        <v>86</v>
      </c>
      <c r="B46" s="23">
        <v>20890.99</v>
      </c>
      <c r="C46" s="19"/>
      <c r="D46" s="18"/>
      <c r="E46" s="20"/>
      <c r="F46" s="20"/>
      <c r="G46" s="20"/>
      <c r="H46" s="20"/>
      <c r="I46" s="19"/>
      <c r="J46" s="20"/>
      <c r="K46" s="22">
        <v>360000</v>
      </c>
      <c r="L46" s="21"/>
      <c r="M46" s="22">
        <v>2</v>
      </c>
      <c r="N46" s="23">
        <f>6333.87+19242.62</f>
      </c>
    </row>
    <row x14ac:dyDescent="0.25" r="47" customHeight="1" ht="18.75">
      <c r="A47" s="4" t="s">
        <v>87</v>
      </c>
      <c r="B47" s="22">
        <v>75000</v>
      </c>
      <c r="C47" s="19"/>
      <c r="D47" s="18"/>
      <c r="E47" s="22">
        <v>110</v>
      </c>
      <c r="F47" s="22">
        <v>250000</v>
      </c>
      <c r="G47" s="20"/>
      <c r="H47" s="20"/>
      <c r="I47" s="19"/>
      <c r="J47" s="20"/>
      <c r="K47" s="20"/>
      <c r="L47" s="21"/>
      <c r="M47" s="22">
        <v>1</v>
      </c>
      <c r="N47" s="22">
        <v>10367</v>
      </c>
    </row>
    <row x14ac:dyDescent="0.25" r="48" customHeight="1" ht="18.75">
      <c r="A48" s="4" t="s">
        <v>88</v>
      </c>
      <c r="B48" s="22">
        <v>36000</v>
      </c>
      <c r="C48" s="23">
        <v>143886.39</v>
      </c>
      <c r="D48" s="18"/>
      <c r="E48" s="22">
        <v>170</v>
      </c>
      <c r="F48" s="22">
        <v>490000</v>
      </c>
      <c r="G48" s="20"/>
      <c r="H48" s="20"/>
      <c r="I48" s="23">
        <v>2.7</v>
      </c>
      <c r="J48" s="22">
        <f>640000-F48</f>
      </c>
      <c r="K48" s="20"/>
      <c r="L48" s="21"/>
      <c r="M48" s="22">
        <v>2</v>
      </c>
      <c r="N48" s="18"/>
    </row>
    <row x14ac:dyDescent="0.25" r="49" customHeight="1" ht="18.75">
      <c r="A49" s="4" t="s">
        <v>89</v>
      </c>
      <c r="B49" s="22">
        <v>95000</v>
      </c>
      <c r="C49" s="23">
        <f>11.02+395.08</f>
      </c>
      <c r="D49" s="18"/>
      <c r="E49" s="22">
        <v>90</v>
      </c>
      <c r="F49" s="22">
        <v>120000</v>
      </c>
      <c r="G49" s="22">
        <v>31</v>
      </c>
      <c r="H49" s="22">
        <v>90000</v>
      </c>
      <c r="I49" s="23">
        <v>3.96</v>
      </c>
      <c r="J49" s="22">
        <v>120000</v>
      </c>
      <c r="K49" s="22">
        <v>250000</v>
      </c>
      <c r="L49" s="21"/>
      <c r="M49" s="22">
        <v>2</v>
      </c>
      <c r="N49" s="22">
        <f>420000+510000</f>
      </c>
    </row>
    <row x14ac:dyDescent="0.25" r="50" customHeight="1" ht="18.75">
      <c r="A50" s="4" t="s">
        <v>90</v>
      </c>
      <c r="B50" s="18"/>
      <c r="C50" s="19"/>
      <c r="D50" s="22">
        <v>15000</v>
      </c>
      <c r="E50" s="20"/>
      <c r="F50" s="20"/>
      <c r="G50" s="22">
        <v>75</v>
      </c>
      <c r="H50" s="22">
        <v>250000</v>
      </c>
      <c r="I50" s="19"/>
      <c r="J50" s="20"/>
      <c r="K50" s="22">
        <v>300000</v>
      </c>
      <c r="L50" s="21"/>
      <c r="M50" s="22">
        <v>0</v>
      </c>
      <c r="N50" s="22">
        <v>352000</v>
      </c>
    </row>
    <row x14ac:dyDescent="0.25" r="51" customHeight="1" ht="18.75">
      <c r="A51" s="4" t="s">
        <v>91</v>
      </c>
      <c r="B51" s="22">
        <v>718000</v>
      </c>
      <c r="C51" s="23">
        <f>157569.06+13239.33</f>
      </c>
      <c r="D51" s="18"/>
      <c r="E51" s="20" t="s">
        <v>92</v>
      </c>
      <c r="F51" s="20" t="s">
        <v>93</v>
      </c>
      <c r="G51" s="20" t="s">
        <v>94</v>
      </c>
      <c r="H51" s="20" t="s">
        <v>95</v>
      </c>
      <c r="I51" s="23">
        <v>4.75</v>
      </c>
      <c r="J51" s="22">
        <v>92000</v>
      </c>
      <c r="K51" s="22">
        <f>2500000+28621+4780000+4290000+1300000+430000+600000+1900000+270000+1500000+450000</f>
      </c>
      <c r="L51" s="22">
        <v>510200</v>
      </c>
      <c r="M51" s="22">
        <v>5</v>
      </c>
      <c r="N51" s="23">
        <f>599484.19+590890.95</f>
      </c>
    </row>
    <row x14ac:dyDescent="0.25" r="52" customHeight="1" ht="18.75">
      <c r="A52" s="4" t="s">
        <v>96</v>
      </c>
      <c r="B52" s="22">
        <f>182400+21847</f>
      </c>
      <c r="C52" s="19"/>
      <c r="D52" s="18"/>
      <c r="E52" s="20"/>
      <c r="F52" s="20"/>
      <c r="G52" s="20"/>
      <c r="H52" s="20"/>
      <c r="I52" s="19"/>
      <c r="J52" s="20"/>
      <c r="K52" s="20"/>
      <c r="L52" s="21"/>
      <c r="M52" s="22">
        <v>1</v>
      </c>
      <c r="N52" s="18"/>
    </row>
    <row x14ac:dyDescent="0.25" r="53" customHeight="1" ht="18.75">
      <c r="A53" s="4" t="s">
        <v>97</v>
      </c>
      <c r="B53" s="22">
        <v>10000</v>
      </c>
      <c r="C53" s="23">
        <v>882.62</v>
      </c>
      <c r="D53" s="18"/>
      <c r="E53" s="20"/>
      <c r="F53" s="20"/>
      <c r="G53" s="20" t="s">
        <v>98</v>
      </c>
      <c r="H53" s="20" t="s">
        <v>99</v>
      </c>
      <c r="I53" s="19"/>
      <c r="J53" s="20"/>
      <c r="K53" s="20"/>
      <c r="L53" s="21"/>
      <c r="M53" s="22">
        <v>1</v>
      </c>
      <c r="N53" s="22">
        <v>358230</v>
      </c>
    </row>
    <row x14ac:dyDescent="0.25" r="54" customHeight="1" ht="18.75">
      <c r="A54" s="4" t="s">
        <v>100</v>
      </c>
      <c r="B54" s="22">
        <v>280000</v>
      </c>
      <c r="C54" s="19"/>
      <c r="D54" s="18"/>
      <c r="E54" s="20"/>
      <c r="F54" s="20"/>
      <c r="G54" s="20" t="s">
        <v>101</v>
      </c>
      <c r="H54" s="20" t="s">
        <v>102</v>
      </c>
      <c r="I54" s="19"/>
      <c r="J54" s="20"/>
      <c r="K54" s="22">
        <v>20000</v>
      </c>
      <c r="L54" s="21"/>
      <c r="M54" s="22">
        <v>1</v>
      </c>
      <c r="N54" s="18"/>
    </row>
    <row x14ac:dyDescent="0.25" r="55" customHeight="1" ht="18.75">
      <c r="A55" s="4" t="s">
        <v>103</v>
      </c>
      <c r="B55" s="22">
        <v>18780</v>
      </c>
      <c r="C55" s="19"/>
      <c r="D55" s="18"/>
      <c r="E55" s="22">
        <v>220</v>
      </c>
      <c r="F55" s="20"/>
      <c r="G55" s="20"/>
      <c r="H55" s="20"/>
      <c r="I55" s="19"/>
      <c r="J55" s="20"/>
      <c r="K55" s="20"/>
      <c r="L55" s="21"/>
      <c r="M55" s="22">
        <v>0</v>
      </c>
      <c r="N55" s="23">
        <v>422352.44</v>
      </c>
    </row>
    <row x14ac:dyDescent="0.25" r="56" customHeight="1" ht="18.75">
      <c r="A56" s="4" t="s">
        <v>104</v>
      </c>
      <c r="B56" s="22">
        <v>10000</v>
      </c>
      <c r="C56" s="19"/>
      <c r="D56" s="18"/>
      <c r="E56" s="22">
        <v>280</v>
      </c>
      <c r="F56" s="22">
        <v>800000</v>
      </c>
      <c r="G56" s="20"/>
      <c r="H56" s="20"/>
      <c r="I56" s="19"/>
      <c r="J56" s="20"/>
      <c r="K56" s="22">
        <v>35000</v>
      </c>
      <c r="L56" s="21"/>
      <c r="M56" s="22">
        <v>1</v>
      </c>
      <c r="N56" s="22">
        <v>53800</v>
      </c>
    </row>
    <row x14ac:dyDescent="0.25" r="57" customHeight="1" ht="18.75">
      <c r="A57" s="4" t="s">
        <v>105</v>
      </c>
      <c r="B57" s="22">
        <f>80595+24000+30000</f>
      </c>
      <c r="C57" s="23">
        <v>9297.91</v>
      </c>
      <c r="D57" s="22">
        <v>85454</v>
      </c>
      <c r="E57" s="23">
        <v>255.51</v>
      </c>
      <c r="F57" s="22">
        <v>1200000</v>
      </c>
      <c r="G57" s="23">
        <v>35.2</v>
      </c>
      <c r="H57" s="22">
        <v>300000</v>
      </c>
      <c r="I57" s="19"/>
      <c r="J57" s="20"/>
      <c r="K57" s="22">
        <v>2000000</v>
      </c>
      <c r="L57" s="21"/>
      <c r="M57" s="22">
        <v>0</v>
      </c>
      <c r="N57" s="23">
        <v>238189.21</v>
      </c>
    </row>
    <row x14ac:dyDescent="0.25" r="58" customHeight="1" ht="18.75">
      <c r="A58" s="4" t="s">
        <v>106</v>
      </c>
      <c r="B58" s="22">
        <v>20000</v>
      </c>
      <c r="C58" s="19"/>
      <c r="D58" s="18"/>
      <c r="E58" s="20"/>
      <c r="F58" s="20"/>
      <c r="G58" s="20"/>
      <c r="H58" s="20"/>
      <c r="I58" s="23">
        <v>1.5</v>
      </c>
      <c r="J58" s="22">
        <v>40000</v>
      </c>
      <c r="K58" s="22">
        <v>140000</v>
      </c>
      <c r="L58" s="21"/>
      <c r="M58" s="22">
        <v>1</v>
      </c>
      <c r="N58" s="22">
        <v>44280</v>
      </c>
    </row>
    <row x14ac:dyDescent="0.25" r="59" customHeight="1" ht="18.75">
      <c r="A59" s="4" t="s">
        <v>107</v>
      </c>
      <c r="B59" s="23">
        <f>304546.23+185000+199000</f>
      </c>
      <c r="C59" s="23">
        <v>4622.46</v>
      </c>
      <c r="D59" s="23">
        <v>353918.31</v>
      </c>
      <c r="E59" s="20"/>
      <c r="F59" s="20"/>
      <c r="G59" s="22">
        <v>130</v>
      </c>
      <c r="H59" s="22">
        <v>380000</v>
      </c>
      <c r="I59" s="19"/>
      <c r="J59" s="20"/>
      <c r="K59" s="20"/>
      <c r="L59" s="21"/>
      <c r="M59" s="22">
        <v>1</v>
      </c>
      <c r="N59" s="18"/>
    </row>
    <row x14ac:dyDescent="0.25" r="60" customHeight="1" ht="18.75">
      <c r="A60" s="4" t="s">
        <v>108</v>
      </c>
      <c r="B60" s="22">
        <v>59687</v>
      </c>
      <c r="C60" s="19"/>
      <c r="D60" s="18"/>
      <c r="E60" s="22">
        <v>153</v>
      </c>
      <c r="F60" s="22">
        <v>700000</v>
      </c>
      <c r="G60" s="20"/>
      <c r="H60" s="20"/>
      <c r="I60" s="19"/>
      <c r="J60" s="20"/>
      <c r="K60" s="22">
        <v>900000</v>
      </c>
      <c r="L60" s="21"/>
      <c r="M60" s="22">
        <v>1</v>
      </c>
      <c r="N60" s="18"/>
    </row>
    <row x14ac:dyDescent="0.25" r="61" customHeight="1" ht="18.75">
      <c r="A61" s="4" t="s">
        <v>109</v>
      </c>
      <c r="B61" s="22">
        <v>4500</v>
      </c>
      <c r="C61" s="23">
        <v>650733.3</v>
      </c>
      <c r="D61" s="18"/>
      <c r="E61" s="22">
        <v>350</v>
      </c>
      <c r="F61" s="22">
        <v>990000</v>
      </c>
      <c r="G61" s="20"/>
      <c r="H61" s="20"/>
      <c r="I61" s="23">
        <v>1.18</v>
      </c>
      <c r="J61" s="20"/>
      <c r="K61" s="20"/>
      <c r="L61" s="21"/>
      <c r="M61" s="22">
        <v>1</v>
      </c>
      <c r="N61" s="23">
        <f>177487.35+30000+30000+2200</f>
      </c>
    </row>
    <row x14ac:dyDescent="0.25" r="62" customHeight="1" ht="18.75">
      <c r="A62" s="4" t="s">
        <v>110</v>
      </c>
      <c r="B62" s="22">
        <f>78527+61204</f>
      </c>
      <c r="C62" s="23">
        <f>55760.98+37609.09+54700.57</f>
      </c>
      <c r="D62" s="18"/>
      <c r="E62" s="22">
        <v>240</v>
      </c>
      <c r="F62" s="22">
        <v>350000</v>
      </c>
      <c r="G62" s="23">
        <v>46.5</v>
      </c>
      <c r="H62" s="22">
        <v>140000</v>
      </c>
      <c r="I62" s="19"/>
      <c r="J62" s="20"/>
      <c r="K62" s="22">
        <v>350000</v>
      </c>
      <c r="L62" s="21"/>
      <c r="M62" s="22">
        <v>0</v>
      </c>
      <c r="N62" s="18"/>
    </row>
    <row x14ac:dyDescent="0.25" r="63" customHeight="1" ht="18.75">
      <c r="A63" s="4" t="s">
        <v>111</v>
      </c>
      <c r="B63" s="18"/>
      <c r="C63" s="19"/>
      <c r="D63" s="18"/>
      <c r="E63" s="20"/>
      <c r="F63" s="20"/>
      <c r="G63" s="20"/>
      <c r="H63" s="20"/>
      <c r="I63" s="19"/>
      <c r="J63" s="20"/>
      <c r="K63" s="20"/>
      <c r="L63" s="21"/>
      <c r="M63" s="21"/>
      <c r="N63" s="18"/>
    </row>
    <row x14ac:dyDescent="0.25" r="64" customHeight="1" ht="18.75">
      <c r="A64" s="4" t="s">
        <v>112</v>
      </c>
      <c r="B64" s="22">
        <v>139416</v>
      </c>
      <c r="C64" s="19"/>
      <c r="D64" s="18"/>
      <c r="E64" s="20"/>
      <c r="F64" s="20"/>
      <c r="G64" s="20" t="s">
        <v>113</v>
      </c>
      <c r="H64" s="20" t="s">
        <v>114</v>
      </c>
      <c r="I64" s="19"/>
      <c r="J64" s="20"/>
      <c r="K64" s="22">
        <v>12000</v>
      </c>
      <c r="L64" s="21"/>
      <c r="M64" s="22">
        <v>0</v>
      </c>
      <c r="N64" s="23">
        <v>2260.92</v>
      </c>
    </row>
    <row x14ac:dyDescent="0.25" r="65" customHeight="1" ht="18.75">
      <c r="A65" s="4" t="s">
        <v>115</v>
      </c>
      <c r="B65" s="22">
        <f>152000+52500</f>
      </c>
      <c r="C65" s="23">
        <v>2322.62</v>
      </c>
      <c r="D65" s="18"/>
      <c r="E65" s="22">
        <f>99+108</f>
      </c>
      <c r="F65" s="22">
        <v>600000</v>
      </c>
      <c r="G65" s="20"/>
      <c r="H65" s="20"/>
      <c r="I65" s="19"/>
      <c r="J65" s="20"/>
      <c r="K65" s="22">
        <v>46000</v>
      </c>
      <c r="L65" s="21"/>
      <c r="M65" s="22">
        <v>1</v>
      </c>
      <c r="N65" s="18"/>
    </row>
    <row x14ac:dyDescent="0.25" r="66" customHeight="1" ht="18.75">
      <c r="A66" s="4" t="s">
        <v>116</v>
      </c>
      <c r="B66" s="22">
        <v>17000</v>
      </c>
      <c r="C66" s="19"/>
      <c r="D66" s="18"/>
      <c r="E66" s="22">
        <v>136</v>
      </c>
      <c r="F66" s="22">
        <v>500000</v>
      </c>
      <c r="G66" s="20"/>
      <c r="H66" s="20"/>
      <c r="I66" s="23">
        <v>4.13</v>
      </c>
      <c r="J66" s="22">
        <v>400000</v>
      </c>
      <c r="K66" s="20"/>
      <c r="L66" s="21"/>
      <c r="M66" s="22">
        <v>2</v>
      </c>
      <c r="N66" s="23">
        <f>303651.41+39051.86</f>
      </c>
    </row>
    <row x14ac:dyDescent="0.25" r="67" customHeight="1" ht="18.75">
      <c r="A67" s="4" t="s">
        <v>117</v>
      </c>
      <c r="B67" s="22">
        <v>260000</v>
      </c>
      <c r="C67" s="19"/>
      <c r="D67" s="18"/>
      <c r="E67" s="22">
        <v>200</v>
      </c>
      <c r="F67" s="22">
        <v>700000</v>
      </c>
      <c r="G67" s="20"/>
      <c r="H67" s="20"/>
      <c r="I67" s="19"/>
      <c r="J67" s="20"/>
      <c r="K67" s="22">
        <f>150000+65000+15000+13000+40000+250000+30000</f>
      </c>
      <c r="L67" s="21"/>
      <c r="M67" s="22">
        <v>1</v>
      </c>
      <c r="N67" s="18"/>
    </row>
    <row x14ac:dyDescent="0.25" r="68" customHeight="1" ht="18.75">
      <c r="A68" s="4" t="s">
        <v>118</v>
      </c>
      <c r="B68" s="22">
        <v>970000</v>
      </c>
      <c r="C68" s="19"/>
      <c r="D68" s="18"/>
      <c r="E68" s="22">
        <v>170</v>
      </c>
      <c r="F68" s="22">
        <v>200000</v>
      </c>
      <c r="G68" s="20"/>
      <c r="H68" s="20"/>
      <c r="I68" s="19"/>
      <c r="J68" s="20"/>
      <c r="K68" s="22">
        <v>100000</v>
      </c>
      <c r="L68" s="21"/>
      <c r="M68" s="22">
        <v>1</v>
      </c>
      <c r="N68" s="18"/>
    </row>
    <row x14ac:dyDescent="0.25" r="69" customHeight="1" ht="18.75">
      <c r="A69" s="4" t="s">
        <v>119</v>
      </c>
      <c r="B69" s="22">
        <v>176000</v>
      </c>
      <c r="C69" s="23">
        <v>883.41</v>
      </c>
      <c r="D69" s="18"/>
      <c r="E69" s="20"/>
      <c r="F69" s="20"/>
      <c r="G69" s="23">
        <v>68.1</v>
      </c>
      <c r="H69" s="22">
        <v>204000</v>
      </c>
      <c r="I69" s="19"/>
      <c r="J69" s="20"/>
      <c r="K69" s="20"/>
      <c r="L69" s="21"/>
      <c r="M69" s="22">
        <v>1</v>
      </c>
      <c r="N69" s="22">
        <v>111183</v>
      </c>
    </row>
    <row x14ac:dyDescent="0.25" r="70" customHeight="1" ht="18.75">
      <c r="A70" s="4" t="s">
        <v>120</v>
      </c>
      <c r="B70" s="23">
        <v>20265.41</v>
      </c>
      <c r="C70" s="19"/>
      <c r="D70" s="22">
        <f>33200+40100</f>
      </c>
      <c r="E70" s="22">
        <v>170</v>
      </c>
      <c r="F70" s="22">
        <v>500000</v>
      </c>
      <c r="G70" s="20"/>
      <c r="H70" s="20"/>
      <c r="I70" s="19"/>
      <c r="J70" s="20"/>
      <c r="K70" s="22">
        <v>240000</v>
      </c>
      <c r="L70" s="21"/>
      <c r="M70" s="22">
        <v>0</v>
      </c>
      <c r="N70" s="22">
        <v>140000</v>
      </c>
    </row>
    <row x14ac:dyDescent="0.25" r="71" customHeight="1" ht="18.75">
      <c r="A71" s="4" t="s">
        <v>121</v>
      </c>
      <c r="B71" s="22">
        <v>13700</v>
      </c>
      <c r="C71" s="19"/>
      <c r="D71" s="18"/>
      <c r="E71" s="23">
        <v>259.5</v>
      </c>
      <c r="F71" s="22">
        <v>700000</v>
      </c>
      <c r="G71" s="20"/>
      <c r="H71" s="20"/>
      <c r="I71" s="23">
        <v>5.3481</v>
      </c>
      <c r="J71" s="22">
        <v>300000</v>
      </c>
      <c r="K71" s="22">
        <f>200000+100000</f>
      </c>
      <c r="L71" s="21"/>
      <c r="M71" s="22">
        <v>1</v>
      </c>
      <c r="N71" s="23">
        <v>61940.94</v>
      </c>
    </row>
    <row x14ac:dyDescent="0.25" r="72" customHeight="1" ht="18.75">
      <c r="A72" s="4" t="s">
        <v>122</v>
      </c>
      <c r="B72" s="23">
        <v>107320.28</v>
      </c>
      <c r="C72" s="19"/>
      <c r="D72" s="18"/>
      <c r="E72" s="22">
        <v>160</v>
      </c>
      <c r="F72" s="22">
        <v>250000</v>
      </c>
      <c r="G72" s="23">
        <v>35.82</v>
      </c>
      <c r="H72" s="22">
        <v>122000</v>
      </c>
      <c r="I72" s="23">
        <v>1.67</v>
      </c>
      <c r="J72" s="22">
        <v>50000</v>
      </c>
      <c r="K72" s="22">
        <f>100000+150000+30000+10000</f>
      </c>
      <c r="L72" s="21"/>
      <c r="M72" s="22">
        <v>2</v>
      </c>
      <c r="N72" s="23">
        <v>147192.48</v>
      </c>
    </row>
    <row x14ac:dyDescent="0.25" r="73" customHeight="1" ht="18.75">
      <c r="A73" s="4" t="s">
        <v>123</v>
      </c>
      <c r="B73" s="22">
        <v>19500</v>
      </c>
      <c r="C73" s="19"/>
      <c r="D73" s="18"/>
      <c r="E73" s="23">
        <v>210.4</v>
      </c>
      <c r="F73" s="22">
        <v>840000</v>
      </c>
      <c r="G73" s="20"/>
      <c r="H73" s="20"/>
      <c r="I73" s="19"/>
      <c r="J73" s="20"/>
      <c r="K73" s="22">
        <v>20000</v>
      </c>
      <c r="L73" s="22">
        <f>18000</f>
      </c>
      <c r="M73" s="22">
        <v>1</v>
      </c>
      <c r="N73" s="23">
        <f>289556.22+35000+30000+20000+100000</f>
      </c>
    </row>
    <row x14ac:dyDescent="0.25" r="74" customHeight="1" ht="18.75">
      <c r="A74" s="4" t="s">
        <v>124</v>
      </c>
      <c r="B74" s="18"/>
      <c r="C74" s="19"/>
      <c r="D74" s="18"/>
      <c r="E74" s="22">
        <v>220</v>
      </c>
      <c r="F74" s="22">
        <v>900000</v>
      </c>
      <c r="G74" s="22">
        <v>96</v>
      </c>
      <c r="H74" s="22">
        <v>650000</v>
      </c>
      <c r="I74" s="19"/>
      <c r="J74" s="20"/>
      <c r="K74" s="20"/>
      <c r="L74" s="21"/>
      <c r="M74" s="22">
        <v>1</v>
      </c>
      <c r="N74" s="22">
        <f>343654+63659</f>
      </c>
    </row>
    <row x14ac:dyDescent="0.25" r="75" customHeight="1" ht="18.75">
      <c r="A75" s="4" t="s">
        <v>125</v>
      </c>
      <c r="B75" s="22">
        <v>122000</v>
      </c>
      <c r="C75" s="19"/>
      <c r="D75" s="18"/>
      <c r="E75" s="20"/>
      <c r="F75" s="20"/>
      <c r="G75" s="20"/>
      <c r="H75" s="20"/>
      <c r="I75" s="19"/>
      <c r="J75" s="20"/>
      <c r="K75" s="20"/>
      <c r="L75" s="21"/>
      <c r="M75" s="22">
        <v>3</v>
      </c>
      <c r="N75" s="18"/>
    </row>
    <row x14ac:dyDescent="0.25" r="76" customHeight="1" ht="18.75">
      <c r="A76" s="4" t="s">
        <v>126</v>
      </c>
      <c r="B76" s="22">
        <v>670000</v>
      </c>
      <c r="C76" s="23">
        <f>444.28+2324.68+220.78+5504.6</f>
      </c>
      <c r="D76" s="18"/>
      <c r="E76" s="20"/>
      <c r="F76" s="20"/>
      <c r="G76" s="20"/>
      <c r="H76" s="20"/>
      <c r="I76" s="19"/>
      <c r="J76" s="20"/>
      <c r="K76" s="20"/>
      <c r="L76" s="21"/>
      <c r="M76" s="22">
        <v>0</v>
      </c>
      <c r="N76" s="18"/>
    </row>
    <row x14ac:dyDescent="0.25" r="77" customHeight="1" ht="18.75">
      <c r="A77" s="4" t="s">
        <v>127</v>
      </c>
      <c r="B77" s="23">
        <v>67021.47</v>
      </c>
      <c r="C77" s="23">
        <f>3364.62</f>
      </c>
      <c r="D77" s="18"/>
      <c r="E77" s="22">
        <v>130</v>
      </c>
      <c r="F77" s="22">
        <v>170000</v>
      </c>
      <c r="G77" s="23">
        <v>106.45</v>
      </c>
      <c r="H77" s="22">
        <v>230000</v>
      </c>
      <c r="I77" s="19"/>
      <c r="J77" s="20"/>
      <c r="K77" s="22">
        <f>50000+30000+57000</f>
      </c>
      <c r="L77" s="21"/>
      <c r="M77" s="22">
        <v>1</v>
      </c>
      <c r="N77" s="23">
        <f>157445.96+30700</f>
      </c>
    </row>
    <row x14ac:dyDescent="0.25" r="78" customHeight="1" ht="18.75">
      <c r="A78" s="4" t="s">
        <v>128</v>
      </c>
      <c r="B78" s="22">
        <v>73000</v>
      </c>
      <c r="C78" s="22">
        <v>26500</v>
      </c>
      <c r="D78" s="18"/>
      <c r="E78" s="22">
        <v>220</v>
      </c>
      <c r="F78" s="22">
        <v>500000</v>
      </c>
      <c r="G78" s="20"/>
      <c r="H78" s="20"/>
      <c r="I78" s="19"/>
      <c r="J78" s="20"/>
      <c r="K78" s="22">
        <v>150000</v>
      </c>
      <c r="L78" s="21"/>
      <c r="M78" s="22">
        <v>2</v>
      </c>
      <c r="N78" s="18"/>
    </row>
    <row x14ac:dyDescent="0.25" r="79" customHeight="1" ht="18.75">
      <c r="A79" s="4" t="s">
        <v>129</v>
      </c>
      <c r="B79" s="23">
        <v>42378.94</v>
      </c>
      <c r="C79" s="19"/>
      <c r="D79" s="18"/>
      <c r="E79" s="20"/>
      <c r="F79" s="20"/>
      <c r="G79" s="20"/>
      <c r="H79" s="20"/>
      <c r="I79" s="19"/>
      <c r="J79" s="20"/>
      <c r="K79" s="22">
        <v>30000</v>
      </c>
      <c r="L79" s="21"/>
      <c r="M79" s="22">
        <v>2</v>
      </c>
      <c r="N79" s="23">
        <f>125767.49+17850</f>
      </c>
    </row>
    <row x14ac:dyDescent="0.25" r="80" customHeight="1" ht="18.75">
      <c r="A80" s="4" t="s">
        <v>130</v>
      </c>
      <c r="B80" s="23">
        <v>64156.42</v>
      </c>
      <c r="C80" s="19"/>
      <c r="D80" s="18"/>
      <c r="E80" s="22">
        <v>140</v>
      </c>
      <c r="F80" s="22">
        <v>800000</v>
      </c>
      <c r="G80" s="22">
        <v>50</v>
      </c>
      <c r="H80" s="22">
        <v>300000</v>
      </c>
      <c r="I80" s="19"/>
      <c r="J80" s="20"/>
      <c r="K80" s="20"/>
      <c r="L80" s="21"/>
      <c r="M80" s="22">
        <v>0</v>
      </c>
      <c r="N80" s="23">
        <f>594694.81</f>
      </c>
    </row>
    <row x14ac:dyDescent="0.25" r="81" customHeight="1" ht="18.75">
      <c r="A81" s="4" t="s">
        <v>131</v>
      </c>
      <c r="B81" s="22">
        <v>550000</v>
      </c>
      <c r="C81" s="19"/>
      <c r="D81" s="18"/>
      <c r="E81" s="22">
        <v>177</v>
      </c>
      <c r="F81" s="22">
        <v>300000</v>
      </c>
      <c r="G81" s="20"/>
      <c r="H81" s="20"/>
      <c r="I81" s="19"/>
      <c r="J81" s="20"/>
      <c r="K81" s="22">
        <v>78224</v>
      </c>
      <c r="L81" s="21"/>
      <c r="M81" s="22">
        <v>1</v>
      </c>
      <c r="N81" s="18"/>
    </row>
    <row x14ac:dyDescent="0.25" r="82" customHeight="1" ht="18.75">
      <c r="A82" s="4" t="s">
        <v>132</v>
      </c>
      <c r="B82" s="23">
        <f>14585.47+50000+116675.91</f>
      </c>
      <c r="C82" s="19"/>
      <c r="D82" s="18"/>
      <c r="E82" s="20"/>
      <c r="F82" s="20"/>
      <c r="G82" s="23">
        <v>45.23</v>
      </c>
      <c r="H82" s="22">
        <v>160000</v>
      </c>
      <c r="I82" s="19"/>
      <c r="J82" s="20"/>
      <c r="K82" s="20"/>
      <c r="L82" s="21"/>
      <c r="M82" s="22">
        <v>1</v>
      </c>
      <c r="N82" s="18"/>
    </row>
    <row x14ac:dyDescent="0.25" r="83" customHeight="1" ht="18.75">
      <c r="A83" s="4" t="s">
        <v>133</v>
      </c>
      <c r="B83" s="18"/>
      <c r="C83" s="19"/>
      <c r="D83" s="18"/>
      <c r="E83" s="20"/>
      <c r="F83" s="20"/>
      <c r="G83" s="20"/>
      <c r="H83" s="20"/>
      <c r="I83" s="19"/>
      <c r="J83" s="20"/>
      <c r="K83" s="20"/>
      <c r="L83" s="21"/>
      <c r="M83" s="21"/>
      <c r="N83" s="18"/>
    </row>
    <row x14ac:dyDescent="0.25" r="84" customHeight="1" ht="18.75">
      <c r="A84" s="4" t="s">
        <v>134</v>
      </c>
      <c r="B84" s="22">
        <v>5000</v>
      </c>
      <c r="C84" s="23">
        <v>465.09</v>
      </c>
      <c r="D84" s="18"/>
      <c r="E84" s="20"/>
      <c r="F84" s="20"/>
      <c r="G84" s="23">
        <v>45.31</v>
      </c>
      <c r="H84" s="22">
        <v>200000</v>
      </c>
      <c r="I84" s="19"/>
      <c r="J84" s="20"/>
      <c r="K84" s="20"/>
      <c r="L84" s="21"/>
      <c r="M84" s="22">
        <v>1</v>
      </c>
      <c r="N84" s="18"/>
    </row>
    <row x14ac:dyDescent="0.25" r="85" customHeight="1" ht="18.75">
      <c r="A85" s="4" t="s">
        <v>135</v>
      </c>
      <c r="B85" s="22">
        <v>110000</v>
      </c>
      <c r="C85" s="23">
        <f>697.6</f>
      </c>
      <c r="D85" s="18"/>
      <c r="E85" s="20" t="s">
        <v>136</v>
      </c>
      <c r="F85" s="20" t="s">
        <v>137</v>
      </c>
      <c r="G85" s="20"/>
      <c r="H85" s="20"/>
      <c r="I85" s="19"/>
      <c r="J85" s="20"/>
      <c r="K85" s="22">
        <f>3700+32000+35000+120000</f>
      </c>
      <c r="L85" s="21"/>
      <c r="M85" s="22">
        <v>2</v>
      </c>
      <c r="N85" s="18"/>
    </row>
    <row x14ac:dyDescent="0.25" r="86" customHeight="1" ht="18.75">
      <c r="A86" s="4" t="s">
        <v>138</v>
      </c>
      <c r="B86" s="23">
        <v>44921.48</v>
      </c>
      <c r="C86" s="19"/>
      <c r="D86" s="18"/>
      <c r="E86" s="20"/>
      <c r="F86" s="20"/>
      <c r="G86" s="23">
        <v>39.47</v>
      </c>
      <c r="H86" s="22">
        <v>325000</v>
      </c>
      <c r="I86" s="19"/>
      <c r="J86" s="20"/>
      <c r="K86" s="22">
        <v>42000</v>
      </c>
      <c r="L86" s="21"/>
      <c r="M86" s="22">
        <v>1</v>
      </c>
      <c r="N86" s="23">
        <f>146949.29</f>
      </c>
    </row>
    <row x14ac:dyDescent="0.25" r="87" customHeight="1" ht="18.75">
      <c r="A87" s="4" t="s">
        <v>139</v>
      </c>
      <c r="B87" s="22">
        <v>5000</v>
      </c>
      <c r="C87" s="19"/>
      <c r="D87" s="18"/>
      <c r="E87" s="20"/>
      <c r="F87" s="20"/>
      <c r="G87" s="23">
        <v>67.18</v>
      </c>
      <c r="H87" s="22">
        <v>398900</v>
      </c>
      <c r="I87" s="19"/>
      <c r="J87" s="20"/>
      <c r="K87" s="22">
        <f>1000</f>
      </c>
      <c r="L87" s="21"/>
      <c r="M87" s="22">
        <v>4</v>
      </c>
      <c r="N87" s="23">
        <f>205428+15000+34128.6+13600</f>
      </c>
    </row>
    <row x14ac:dyDescent="0.25" r="88" customHeight="1" ht="18.75">
      <c r="A88" s="4" t="s">
        <v>140</v>
      </c>
      <c r="B88" s="22">
        <f>60000</f>
      </c>
      <c r="C88" s="19"/>
      <c r="D88" s="18"/>
      <c r="E88" s="23">
        <v>121.4</v>
      </c>
      <c r="F88" s="22">
        <v>680000</v>
      </c>
      <c r="G88" s="23">
        <v>72.55</v>
      </c>
      <c r="H88" s="22">
        <v>270000</v>
      </c>
      <c r="I88" s="19"/>
      <c r="J88" s="20"/>
      <c r="K88" s="22">
        <v>25000</v>
      </c>
      <c r="L88" s="21"/>
      <c r="M88" s="22">
        <v>1</v>
      </c>
      <c r="N88" s="23">
        <f>178075.01+103606.03+50000+475251.08+22950</f>
      </c>
    </row>
    <row x14ac:dyDescent="0.25" r="89" customHeight="1" ht="18.75">
      <c r="A89" s="4" t="s">
        <v>141</v>
      </c>
      <c r="B89" s="23">
        <v>5937.55</v>
      </c>
      <c r="C89" s="19"/>
      <c r="D89" s="23">
        <v>88828.79</v>
      </c>
      <c r="E89" s="22">
        <v>190</v>
      </c>
      <c r="F89" s="22">
        <v>280000</v>
      </c>
      <c r="G89" s="20"/>
      <c r="H89" s="20"/>
      <c r="I89" s="23">
        <v>1.99</v>
      </c>
      <c r="J89" s="22">
        <v>19900</v>
      </c>
      <c r="K89" s="22">
        <v>407000</v>
      </c>
      <c r="L89" s="21"/>
      <c r="M89" s="22">
        <v>2</v>
      </c>
      <c r="N89" s="22">
        <f>256000+30600+17865</f>
      </c>
    </row>
    <row x14ac:dyDescent="0.25" r="90" customHeight="1" ht="18.75">
      <c r="A90" s="4" t="s">
        <v>142</v>
      </c>
      <c r="B90" s="22">
        <v>60000</v>
      </c>
      <c r="C90" s="23">
        <f>20927.85+8825.76</f>
      </c>
      <c r="D90" s="18"/>
      <c r="E90" s="20"/>
      <c r="F90" s="20"/>
      <c r="G90" s="20"/>
      <c r="H90" s="20"/>
      <c r="I90" s="19"/>
      <c r="J90" s="20"/>
      <c r="K90" s="22">
        <v>70000</v>
      </c>
      <c r="L90" s="21"/>
      <c r="M90" s="22">
        <v>0</v>
      </c>
      <c r="N90" s="18"/>
    </row>
    <row x14ac:dyDescent="0.25" r="91" customHeight="1" ht="18.75">
      <c r="A91" s="4" t="s">
        <v>143</v>
      </c>
      <c r="B91" s="23">
        <v>618297.52</v>
      </c>
      <c r="C91" s="23">
        <f>1029.88+1456.38</f>
      </c>
      <c r="D91" s="23">
        <v>87068.57</v>
      </c>
      <c r="E91" s="20"/>
      <c r="F91" s="20"/>
      <c r="G91" s="20"/>
      <c r="H91" s="20"/>
      <c r="I91" s="19"/>
      <c r="J91" s="20"/>
      <c r="K91" s="20"/>
      <c r="L91" s="21"/>
      <c r="M91" s="22">
        <v>1</v>
      </c>
      <c r="N91" s="18"/>
    </row>
    <row x14ac:dyDescent="0.25" r="92" customHeight="1" ht="18.75">
      <c r="A92" s="4" t="s">
        <v>144</v>
      </c>
      <c r="B92" s="22">
        <v>482000</v>
      </c>
      <c r="C92" s="23">
        <f>4653.11</f>
      </c>
      <c r="D92" s="18"/>
      <c r="E92" s="22">
        <v>270</v>
      </c>
      <c r="F92" s="22">
        <v>300000</v>
      </c>
      <c r="G92" s="22">
        <v>50</v>
      </c>
      <c r="H92" s="22">
        <v>200000</v>
      </c>
      <c r="I92" s="22">
        <v>250</v>
      </c>
      <c r="J92" s="22">
        <v>10000000</v>
      </c>
      <c r="K92" s="22">
        <v>150000</v>
      </c>
      <c r="L92" s="21"/>
      <c r="M92" s="22">
        <v>2</v>
      </c>
      <c r="N92" s="22">
        <f>1776312+529200+272000</f>
      </c>
    </row>
    <row x14ac:dyDescent="0.25" r="93" customHeight="1" ht="18.75">
      <c r="A93" s="4" t="s">
        <v>145</v>
      </c>
      <c r="B93" s="22">
        <v>338299</v>
      </c>
      <c r="C93" s="23">
        <v>42082.71</v>
      </c>
      <c r="D93" s="18"/>
      <c r="E93" s="22">
        <v>210</v>
      </c>
      <c r="F93" s="22">
        <v>495000</v>
      </c>
      <c r="G93" s="20"/>
      <c r="H93" s="20"/>
      <c r="I93" s="19"/>
      <c r="J93" s="20"/>
      <c r="K93" s="20"/>
      <c r="L93" s="21"/>
      <c r="M93" s="22">
        <v>2</v>
      </c>
      <c r="N93" s="18"/>
    </row>
    <row x14ac:dyDescent="0.25" r="94" customHeight="1" ht="18.75">
      <c r="A94" s="4" t="s">
        <v>146</v>
      </c>
      <c r="B94" s="22">
        <v>60000</v>
      </c>
      <c r="C94" s="23">
        <f>4653.11</f>
      </c>
      <c r="D94" s="18"/>
      <c r="E94" s="22">
        <v>250</v>
      </c>
      <c r="F94" s="22">
        <v>450000</v>
      </c>
      <c r="G94" s="20"/>
      <c r="H94" s="20"/>
      <c r="I94" s="19"/>
      <c r="J94" s="20"/>
      <c r="K94" s="20"/>
      <c r="L94" s="21"/>
      <c r="M94" s="22">
        <v>1</v>
      </c>
      <c r="N94" s="23">
        <f>134772.58</f>
      </c>
    </row>
    <row x14ac:dyDescent="0.25" r="95" customHeight="1" ht="18.75">
      <c r="A95" s="4" t="s">
        <v>147</v>
      </c>
      <c r="B95" s="22">
        <v>8000</v>
      </c>
      <c r="C95" s="19"/>
      <c r="D95" s="18"/>
      <c r="E95" s="22">
        <v>130</v>
      </c>
      <c r="F95" s="22">
        <v>660000</v>
      </c>
      <c r="G95" s="23">
        <v>68.3</v>
      </c>
      <c r="H95" s="22">
        <v>500000</v>
      </c>
      <c r="I95" s="19"/>
      <c r="J95" s="20"/>
      <c r="K95" s="22">
        <v>60000</v>
      </c>
      <c r="L95" s="21"/>
      <c r="M95" s="22">
        <v>1</v>
      </c>
      <c r="N95" s="18"/>
    </row>
    <row x14ac:dyDescent="0.25" r="96" customHeight="1" ht="18.75">
      <c r="A96" s="4" t="s">
        <v>148</v>
      </c>
      <c r="B96" s="22">
        <v>17000</v>
      </c>
      <c r="C96" s="19"/>
      <c r="D96" s="18"/>
      <c r="E96" s="22">
        <v>180</v>
      </c>
      <c r="F96" s="22">
        <v>410000</v>
      </c>
      <c r="G96" s="20"/>
      <c r="H96" s="20"/>
      <c r="I96" s="19"/>
      <c r="J96" s="20"/>
      <c r="K96" s="22">
        <v>550000</v>
      </c>
      <c r="L96" s="21"/>
      <c r="M96" s="22">
        <v>4</v>
      </c>
      <c r="N96" s="23">
        <f>207081+106252+12788.47</f>
      </c>
    </row>
    <row x14ac:dyDescent="0.25" r="97" customHeight="1" ht="18.75">
      <c r="A97" s="4" t="s">
        <v>149</v>
      </c>
      <c r="B97" s="22">
        <v>100780</v>
      </c>
      <c r="C97" s="23">
        <f>4653.11+883.11</f>
      </c>
      <c r="D97" s="18"/>
      <c r="E97" s="23">
        <v>251.59</v>
      </c>
      <c r="F97" s="22">
        <v>900000</v>
      </c>
      <c r="G97" s="20"/>
      <c r="H97" s="20"/>
      <c r="I97" s="19"/>
      <c r="J97" s="20"/>
      <c r="K97" s="20"/>
      <c r="L97" s="21"/>
      <c r="M97" s="22">
        <v>1</v>
      </c>
      <c r="N97" s="22">
        <f>502200+23500</f>
      </c>
    </row>
    <row x14ac:dyDescent="0.25" r="98" customHeight="1" ht="18.75">
      <c r="A98" s="4" t="s">
        <v>150</v>
      </c>
      <c r="B98" s="22">
        <v>5000</v>
      </c>
      <c r="C98" s="23">
        <f>4653.11/10</f>
      </c>
      <c r="D98" s="23">
        <v>36614.59</v>
      </c>
      <c r="E98" s="20" t="s">
        <v>151</v>
      </c>
      <c r="F98" s="20" t="s">
        <v>152</v>
      </c>
      <c r="G98" s="20"/>
      <c r="H98" s="20"/>
      <c r="I98" s="19"/>
      <c r="J98" s="20"/>
      <c r="K98" s="22">
        <v>74000</v>
      </c>
      <c r="L98" s="21"/>
      <c r="M98" s="22">
        <v>1</v>
      </c>
      <c r="N98" s="23">
        <f>22534.88+22350.73+17850</f>
      </c>
    </row>
    <row x14ac:dyDescent="0.25" r="99" customHeight="1" ht="18.75">
      <c r="A99" s="4" t="s">
        <v>153</v>
      </c>
      <c r="B99" s="22">
        <v>700</v>
      </c>
      <c r="C99" s="23">
        <f>558.58</f>
      </c>
      <c r="D99" s="18"/>
      <c r="E99" s="22">
        <v>271</v>
      </c>
      <c r="F99" s="22">
        <v>910000</v>
      </c>
      <c r="G99" s="22">
        <v>93</v>
      </c>
      <c r="H99" s="22">
        <v>180000</v>
      </c>
      <c r="I99" s="23">
        <v>2.3106</v>
      </c>
      <c r="J99" s="22">
        <v>369696</v>
      </c>
      <c r="K99" s="22">
        <v>417000</v>
      </c>
      <c r="L99" s="22">
        <f>9000+978068</f>
      </c>
      <c r="M99" s="22">
        <v>0</v>
      </c>
      <c r="N99" s="23">
        <f>511635.55+30300+20000</f>
      </c>
    </row>
    <row x14ac:dyDescent="0.25" r="100" customHeight="1" ht="18.75">
      <c r="A100" s="4" t="s">
        <v>154</v>
      </c>
      <c r="B100" s="22">
        <v>157000</v>
      </c>
      <c r="C100" s="23">
        <v>2327.43</v>
      </c>
      <c r="D100" s="22">
        <v>42000</v>
      </c>
      <c r="E100" s="22">
        <v>175</v>
      </c>
      <c r="F100" s="22">
        <v>850000</v>
      </c>
      <c r="G100" s="22">
        <v>89</v>
      </c>
      <c r="H100" s="22">
        <v>1200000</v>
      </c>
      <c r="I100" s="19"/>
      <c r="J100" s="20"/>
      <c r="K100" s="22">
        <f>1300000+535000+480000</f>
      </c>
      <c r="L100" s="21"/>
      <c r="M100" s="22">
        <v>2</v>
      </c>
      <c r="N100" s="23">
        <f>666184.81+140000</f>
      </c>
    </row>
    <row x14ac:dyDescent="0.25" r="101" customHeight="1" ht="18.75">
      <c r="A101" s="4" t="s">
        <v>155</v>
      </c>
      <c r="B101" s="23">
        <v>410663.81</v>
      </c>
      <c r="C101" s="19"/>
      <c r="D101" s="18"/>
      <c r="E101" s="20"/>
      <c r="F101" s="20"/>
      <c r="G101" s="20"/>
      <c r="H101" s="20"/>
      <c r="I101" s="19"/>
      <c r="J101" s="20"/>
      <c r="K101" s="20"/>
      <c r="L101" s="21"/>
      <c r="M101" s="22">
        <v>1</v>
      </c>
      <c r="N101" s="23">
        <v>13177.93</v>
      </c>
    </row>
    <row x14ac:dyDescent="0.25" r="102" customHeight="1" ht="18.75">
      <c r="A102" s="4" t="s">
        <v>156</v>
      </c>
      <c r="B102" s="22">
        <v>12000</v>
      </c>
      <c r="C102" s="19"/>
      <c r="D102" s="18"/>
      <c r="E102" s="22">
        <v>101</v>
      </c>
      <c r="F102" s="22">
        <v>300000</v>
      </c>
      <c r="G102" s="22">
        <v>38</v>
      </c>
      <c r="H102" s="22">
        <v>250000</v>
      </c>
      <c r="I102" s="19"/>
      <c r="J102" s="20"/>
      <c r="K102" s="20"/>
      <c r="L102" s="21"/>
      <c r="M102" s="22">
        <v>0</v>
      </c>
      <c r="N102" s="22">
        <v>27200</v>
      </c>
    </row>
    <row x14ac:dyDescent="0.25" r="103" customHeight="1" ht="18.75">
      <c r="A103" s="4" t="s">
        <v>157</v>
      </c>
      <c r="B103" s="23">
        <v>14293.37</v>
      </c>
      <c r="C103" s="23">
        <f>37.07</f>
      </c>
      <c r="D103" s="18"/>
      <c r="E103" s="20"/>
      <c r="F103" s="20"/>
      <c r="G103" s="23">
        <v>44.3</v>
      </c>
      <c r="H103" s="22">
        <v>180000</v>
      </c>
      <c r="I103" s="19"/>
      <c r="J103" s="20"/>
      <c r="K103" s="20"/>
      <c r="L103" s="21"/>
      <c r="M103" s="22">
        <v>0</v>
      </c>
      <c r="N103" s="23">
        <f>110079.12+22950</f>
      </c>
    </row>
    <row x14ac:dyDescent="0.25" r="104" customHeight="1" ht="18.75">
      <c r="A104" s="4" t="s">
        <v>158</v>
      </c>
      <c r="B104" s="22">
        <v>215000</v>
      </c>
      <c r="C104" s="23">
        <v>3026.23</v>
      </c>
      <c r="D104" s="22">
        <f>26055</f>
      </c>
      <c r="E104" s="22">
        <v>170</v>
      </c>
      <c r="F104" s="22">
        <v>1200000</v>
      </c>
      <c r="G104" s="22">
        <v>70</v>
      </c>
      <c r="H104" s="22">
        <v>350000</v>
      </c>
      <c r="I104" s="19"/>
      <c r="J104" s="20"/>
      <c r="K104" s="20"/>
      <c r="L104" s="21"/>
      <c r="M104" s="22">
        <v>2</v>
      </c>
      <c r="N104" s="18"/>
    </row>
    <row x14ac:dyDescent="0.25" r="105" customHeight="1" ht="18.75">
      <c r="A105" s="4" t="s">
        <v>159</v>
      </c>
      <c r="B105" s="22">
        <v>320000</v>
      </c>
      <c r="C105" s="19"/>
      <c r="D105" s="22">
        <f>7000+40000+30000+3610</f>
      </c>
      <c r="E105" s="22">
        <v>120</v>
      </c>
      <c r="F105" s="22">
        <v>400000</v>
      </c>
      <c r="G105" s="20"/>
      <c r="H105" s="20"/>
      <c r="I105" s="19"/>
      <c r="J105" s="20"/>
      <c r="K105" s="20"/>
      <c r="L105" s="22">
        <f>7800</f>
      </c>
      <c r="M105" s="22">
        <v>0</v>
      </c>
      <c r="N105" s="18"/>
    </row>
    <row x14ac:dyDescent="0.25" r="106" customHeight="1" ht="18.75">
      <c r="A106" s="4" t="s">
        <v>160</v>
      </c>
      <c r="B106" s="22">
        <v>112000</v>
      </c>
      <c r="C106" s="19"/>
      <c r="D106" s="18"/>
      <c r="E106" s="22">
        <v>160</v>
      </c>
      <c r="F106" s="22">
        <v>160000</v>
      </c>
      <c r="G106" s="20"/>
      <c r="H106" s="20"/>
      <c r="I106" s="19"/>
      <c r="J106" s="20"/>
      <c r="K106" s="22">
        <f>5000+2500+30000</f>
      </c>
      <c r="L106" s="21"/>
      <c r="M106" s="22">
        <v>1</v>
      </c>
      <c r="N106" s="18"/>
    </row>
    <row x14ac:dyDescent="0.25" r="107" customHeight="1" ht="18.75">
      <c r="A107" s="4" t="s">
        <v>161</v>
      </c>
      <c r="B107" s="22">
        <v>115000</v>
      </c>
      <c r="C107" s="23">
        <f>11046.38</f>
      </c>
      <c r="D107" s="18"/>
      <c r="E107" s="22">
        <v>400</v>
      </c>
      <c r="F107" s="22">
        <v>2000000</v>
      </c>
      <c r="G107" s="22">
        <v>58</v>
      </c>
      <c r="H107" s="22">
        <v>450000</v>
      </c>
      <c r="I107" s="19"/>
      <c r="J107" s="20"/>
      <c r="K107" s="22">
        <v>15000</v>
      </c>
      <c r="L107" s="21"/>
      <c r="M107" s="22">
        <v>2</v>
      </c>
      <c r="N107" s="18"/>
    </row>
    <row x14ac:dyDescent="0.25" r="108" customHeight="1" ht="18.75">
      <c r="A108" s="4" t="s">
        <v>162</v>
      </c>
      <c r="B108" s="22">
        <v>60000</v>
      </c>
      <c r="C108" s="19"/>
      <c r="D108" s="18"/>
      <c r="E108" s="20" t="s">
        <v>163</v>
      </c>
      <c r="F108" s="20" t="s">
        <v>164</v>
      </c>
      <c r="G108" s="20"/>
      <c r="H108" s="20"/>
      <c r="I108" s="19"/>
      <c r="J108" s="20"/>
      <c r="K108" s="22">
        <f>91500</f>
      </c>
      <c r="L108" s="21"/>
      <c r="M108" s="22">
        <v>1</v>
      </c>
      <c r="N108" s="23">
        <f>344151.91+18000+68000</f>
      </c>
    </row>
    <row x14ac:dyDescent="0.25" r="109" customHeight="1" ht="18.75">
      <c r="A109" s="4" t="s">
        <v>165</v>
      </c>
      <c r="B109" s="22">
        <v>15000</v>
      </c>
      <c r="C109" s="23">
        <f>6983.05</f>
      </c>
      <c r="D109" s="18"/>
      <c r="E109" s="22">
        <v>300</v>
      </c>
      <c r="F109" s="22">
        <v>400000</v>
      </c>
      <c r="G109" s="20"/>
      <c r="H109" s="20"/>
      <c r="I109" s="19"/>
      <c r="J109" s="20"/>
      <c r="K109" s="22">
        <v>107400</v>
      </c>
      <c r="L109" s="21"/>
      <c r="M109" s="22">
        <v>1</v>
      </c>
      <c r="N109" s="18"/>
    </row>
    <row x14ac:dyDescent="0.25" r="110" customHeight="1" ht="18.75">
      <c r="A110" s="4" t="s">
        <v>166</v>
      </c>
      <c r="B110" s="23">
        <v>31494.91</v>
      </c>
      <c r="C110" s="19"/>
      <c r="D110" s="18"/>
      <c r="E110" s="23">
        <v>157.44</v>
      </c>
      <c r="F110" s="22">
        <v>630000</v>
      </c>
      <c r="G110" s="20" t="s">
        <v>167</v>
      </c>
      <c r="H110" s="20" t="s">
        <v>168</v>
      </c>
      <c r="I110" s="19"/>
      <c r="J110" s="20"/>
      <c r="K110" s="22">
        <v>15000</v>
      </c>
      <c r="L110" s="21"/>
      <c r="M110" s="22">
        <v>2</v>
      </c>
      <c r="N110" s="23">
        <f>377794.37+47867.41</f>
      </c>
    </row>
    <row x14ac:dyDescent="0.25" r="111" customHeight="1" ht="18.75">
      <c r="A111" s="4" t="s">
        <v>169</v>
      </c>
      <c r="B111" s="18"/>
      <c r="C111" s="19"/>
      <c r="D111" s="18"/>
      <c r="E111" s="22">
        <v>114</v>
      </c>
      <c r="F111" s="22">
        <v>300000</v>
      </c>
      <c r="G111" s="20"/>
      <c r="H111" s="20"/>
      <c r="I111" s="23">
        <v>2.52</v>
      </c>
      <c r="J111" s="22">
        <v>180000</v>
      </c>
      <c r="K111" s="22">
        <v>10000</v>
      </c>
      <c r="L111" s="21"/>
      <c r="M111" s="22">
        <v>2</v>
      </c>
      <c r="N111" s="22">
        <v>17850</v>
      </c>
    </row>
    <row x14ac:dyDescent="0.25" r="112" customHeight="1" ht="18.75">
      <c r="A112" s="4" t="s">
        <v>170</v>
      </c>
      <c r="B112" s="22">
        <v>13000</v>
      </c>
      <c r="C112" s="19"/>
      <c r="D112" s="18"/>
      <c r="E112" s="22">
        <v>291</v>
      </c>
      <c r="F112" s="22">
        <v>550000</v>
      </c>
      <c r="G112" s="23">
        <v>61.39</v>
      </c>
      <c r="H112" s="22">
        <v>260000</v>
      </c>
      <c r="I112" s="19"/>
      <c r="J112" s="20"/>
      <c r="K112" s="22">
        <v>188000</v>
      </c>
      <c r="L112" s="21"/>
      <c r="M112" s="22">
        <v>2</v>
      </c>
      <c r="N112" s="23">
        <f>276258.43+42592.09</f>
      </c>
    </row>
    <row x14ac:dyDescent="0.25" r="113" customHeight="1" ht="18.75">
      <c r="A113" s="4" t="s">
        <v>171</v>
      </c>
      <c r="B113" s="22">
        <v>105000</v>
      </c>
      <c r="C113" s="19"/>
      <c r="D113" s="18"/>
      <c r="E113" s="20"/>
      <c r="F113" s="20"/>
      <c r="G113" s="20"/>
      <c r="H113" s="20"/>
      <c r="I113" s="19"/>
      <c r="J113" s="20"/>
      <c r="K113" s="20"/>
      <c r="L113" s="21"/>
      <c r="M113" s="22">
        <v>0</v>
      </c>
      <c r="N113" s="18"/>
    </row>
    <row x14ac:dyDescent="0.25" r="114" customHeight="1" ht="18.75">
      <c r="A114" s="4" t="s">
        <v>172</v>
      </c>
      <c r="B114" s="22">
        <v>3430</v>
      </c>
      <c r="C114" s="23">
        <v>78.3</v>
      </c>
      <c r="D114" s="18"/>
      <c r="E114" s="20"/>
      <c r="F114" s="20"/>
      <c r="G114" s="22">
        <v>42</v>
      </c>
      <c r="H114" s="22">
        <v>250000</v>
      </c>
      <c r="I114" s="19"/>
      <c r="J114" s="20"/>
      <c r="K114" s="20"/>
      <c r="L114" s="21"/>
      <c r="M114" s="22">
        <v>1</v>
      </c>
      <c r="N114" s="18"/>
    </row>
    <row x14ac:dyDescent="0.25" r="115" customHeight="1" ht="18.75">
      <c r="A115" s="4" t="s">
        <v>173</v>
      </c>
      <c r="B115" s="22">
        <v>4570</v>
      </c>
      <c r="C115" s="19"/>
      <c r="D115" s="18"/>
      <c r="E115" s="20"/>
      <c r="F115" s="20"/>
      <c r="G115" s="22">
        <v>70</v>
      </c>
      <c r="H115" s="22">
        <v>390000</v>
      </c>
      <c r="I115" s="19"/>
      <c r="J115" s="20"/>
      <c r="K115" s="20"/>
      <c r="L115" s="21"/>
      <c r="M115" s="22">
        <v>0</v>
      </c>
      <c r="N115" s="23">
        <v>144686.27</v>
      </c>
    </row>
    <row x14ac:dyDescent="0.25" r="116" customHeight="1" ht="18.75">
      <c r="A116" s="4" t="s">
        <v>174</v>
      </c>
      <c r="B116" s="18"/>
      <c r="C116" s="19"/>
      <c r="D116" s="18"/>
      <c r="E116" s="20"/>
      <c r="F116" s="20"/>
      <c r="G116" s="22">
        <v>50</v>
      </c>
      <c r="H116" s="20"/>
      <c r="I116" s="19"/>
      <c r="J116" s="20"/>
      <c r="K116" s="20"/>
      <c r="L116" s="21"/>
      <c r="M116" s="22">
        <v>1</v>
      </c>
      <c r="N116" s="23">
        <f>55399.27+70657.44+18112.35+30000+16500</f>
      </c>
    </row>
    <row x14ac:dyDescent="0.25" r="117" customHeight="1" ht="18.75">
      <c r="A117" s="4" t="s">
        <v>175</v>
      </c>
      <c r="B117" s="22">
        <v>160000</v>
      </c>
      <c r="C117" s="19"/>
      <c r="D117" s="18"/>
      <c r="E117" s="20"/>
      <c r="F117" s="20"/>
      <c r="G117" s="20" t="s">
        <v>176</v>
      </c>
      <c r="H117" s="20" t="s">
        <v>177</v>
      </c>
      <c r="I117" s="19"/>
      <c r="J117" s="20"/>
      <c r="K117" s="20"/>
      <c r="L117" s="21"/>
      <c r="M117" s="22">
        <v>0</v>
      </c>
      <c r="N117" s="18"/>
    </row>
    <row x14ac:dyDescent="0.25" r="118" customHeight="1" ht="18.75">
      <c r="A118" s="4" t="s">
        <v>178</v>
      </c>
      <c r="B118" s="22">
        <v>40000</v>
      </c>
      <c r="C118" s="19"/>
      <c r="D118" s="18"/>
      <c r="E118" s="20" t="s">
        <v>179</v>
      </c>
      <c r="F118" s="20" t="s">
        <v>180</v>
      </c>
      <c r="G118" s="20"/>
      <c r="H118" s="20"/>
      <c r="I118" s="19"/>
      <c r="J118" s="20"/>
      <c r="K118" s="22">
        <v>320000</v>
      </c>
      <c r="L118" s="21"/>
      <c r="M118" s="22">
        <v>2</v>
      </c>
      <c r="N118" s="18"/>
    </row>
    <row x14ac:dyDescent="0.25" r="119" customHeight="1" ht="18.75">
      <c r="A119" s="4" t="s">
        <v>181</v>
      </c>
      <c r="B119" s="22">
        <v>10000</v>
      </c>
      <c r="C119" s="19"/>
      <c r="D119" s="18"/>
      <c r="E119" s="22">
        <v>240</v>
      </c>
      <c r="F119" s="22">
        <v>260000</v>
      </c>
      <c r="G119" s="20"/>
      <c r="H119" s="20"/>
      <c r="I119" s="23">
        <v>27.54</v>
      </c>
      <c r="J119" s="22">
        <v>800000</v>
      </c>
      <c r="K119" s="20"/>
      <c r="L119" s="21"/>
      <c r="M119" s="22">
        <v>3</v>
      </c>
      <c r="N119" s="22">
        <v>378840</v>
      </c>
    </row>
    <row x14ac:dyDescent="0.25" r="120" customHeight="1" ht="18.75">
      <c r="A120" s="4" t="s">
        <v>182</v>
      </c>
      <c r="B120" s="22">
        <v>15000</v>
      </c>
      <c r="C120" s="19"/>
      <c r="D120" s="18"/>
      <c r="E120" s="23">
        <v>197.65</v>
      </c>
      <c r="F120" s="22">
        <v>480000</v>
      </c>
      <c r="G120" s="20"/>
      <c r="H120" s="20"/>
      <c r="I120" s="19"/>
      <c r="J120" s="20"/>
      <c r="K120" s="20"/>
      <c r="L120" s="21"/>
      <c r="M120" s="22">
        <v>1</v>
      </c>
      <c r="N120" s="22">
        <v>11057</v>
      </c>
    </row>
    <row x14ac:dyDescent="0.25" r="121" customHeight="1" ht="18.75">
      <c r="A121" s="4" t="s">
        <v>183</v>
      </c>
      <c r="B121" s="22">
        <v>28000</v>
      </c>
      <c r="C121" s="23">
        <v>4178.27</v>
      </c>
      <c r="D121" s="18"/>
      <c r="E121" s="22">
        <v>189</v>
      </c>
      <c r="F121" s="22">
        <v>380000</v>
      </c>
      <c r="G121" s="22">
        <v>57</v>
      </c>
      <c r="H121" s="22">
        <v>290000</v>
      </c>
      <c r="I121" s="23">
        <v>6.96</v>
      </c>
      <c r="J121" s="22">
        <v>130000</v>
      </c>
      <c r="K121" s="22">
        <v>2225000</v>
      </c>
      <c r="L121" s="21"/>
      <c r="M121" s="22">
        <v>1</v>
      </c>
      <c r="N121" s="23">
        <f> 144150.42 + 462198.04</f>
      </c>
    </row>
    <row x14ac:dyDescent="0.25" r="122" customHeight="1" ht="18.75">
      <c r="A122" s="4" t="s">
        <v>184</v>
      </c>
      <c r="B122" s="22">
        <v>150000</v>
      </c>
      <c r="C122" s="23">
        <f>11600.93 + 26385.22 + 546.84 + 453</f>
      </c>
      <c r="D122" s="18"/>
      <c r="E122" s="23">
        <v>121.4</v>
      </c>
      <c r="F122" s="22">
        <v>660000</v>
      </c>
      <c r="G122" s="23">
        <v>239.85</v>
      </c>
      <c r="H122" s="22">
        <v>70000</v>
      </c>
      <c r="I122" s="19"/>
      <c r="J122" s="20"/>
      <c r="K122" s="22">
        <f>76000+250000</f>
      </c>
      <c r="L122" s="21"/>
      <c r="M122" s="22">
        <v>3</v>
      </c>
      <c r="N122" s="22">
        <v>490000</v>
      </c>
    </row>
    <row x14ac:dyDescent="0.25" r="123" customHeight="1" ht="18.75">
      <c r="A123" s="4" t="s">
        <v>185</v>
      </c>
      <c r="B123" s="22">
        <v>45982</v>
      </c>
      <c r="C123" s="23">
        <v>123.07</v>
      </c>
      <c r="D123" s="22">
        <f>108209+55097</f>
      </c>
      <c r="E123" s="22">
        <v>210</v>
      </c>
      <c r="F123" s="22">
        <v>600000</v>
      </c>
      <c r="G123" s="20"/>
      <c r="H123" s="20"/>
      <c r="I123" s="19"/>
      <c r="J123" s="20"/>
      <c r="K123" s="20"/>
      <c r="L123" s="21"/>
      <c r="M123" s="22">
        <v>1</v>
      </c>
      <c r="N123" s="23">
        <f> 642834.49 + 20000</f>
      </c>
    </row>
    <row x14ac:dyDescent="0.25" r="124" customHeight="1" ht="18.75">
      <c r="A124" s="4" t="s">
        <v>186</v>
      </c>
      <c r="B124" s="22">
        <v>129396</v>
      </c>
      <c r="C124" s="23">
        <v>617236.37</v>
      </c>
      <c r="D124" s="18"/>
      <c r="E124" s="22">
        <v>145</v>
      </c>
      <c r="F124" s="22">
        <v>300000</v>
      </c>
      <c r="G124" s="20" t="s">
        <v>187</v>
      </c>
      <c r="H124" s="20" t="s">
        <v>188</v>
      </c>
      <c r="I124" s="23">
        <v>1.22</v>
      </c>
      <c r="J124" s="22">
        <v>80000</v>
      </c>
      <c r="K124" s="20"/>
      <c r="L124" s="21"/>
      <c r="M124" s="22">
        <v>1</v>
      </c>
      <c r="N124" s="18"/>
    </row>
    <row x14ac:dyDescent="0.25" r="125" customHeight="1" ht="18.75">
      <c r="A125" s="4" t="s">
        <v>189</v>
      </c>
      <c r="B125" s="22">
        <v>11439</v>
      </c>
      <c r="C125" s="19"/>
      <c r="D125" s="18"/>
      <c r="E125" s="22">
        <v>96</v>
      </c>
      <c r="F125" s="22">
        <v>400000</v>
      </c>
      <c r="G125" s="22">
        <v>128</v>
      </c>
      <c r="H125" s="22">
        <v>800000</v>
      </c>
      <c r="I125" s="19"/>
      <c r="J125" s="20"/>
      <c r="K125" s="22">
        <v>260000</v>
      </c>
      <c r="L125" s="21"/>
      <c r="M125" s="22">
        <v>2</v>
      </c>
      <c r="N125" s="22">
        <v>130000</v>
      </c>
    </row>
    <row x14ac:dyDescent="0.25" r="126" customHeight="1" ht="18.75">
      <c r="A126" s="4" t="s">
        <v>190</v>
      </c>
      <c r="B126" s="23">
        <v>11156.2</v>
      </c>
      <c r="C126" s="23">
        <v>1312602.44</v>
      </c>
      <c r="D126" s="22">
        <v>70121</v>
      </c>
      <c r="E126" s="22">
        <v>240</v>
      </c>
      <c r="F126" s="22">
        <v>500000</v>
      </c>
      <c r="G126" s="20"/>
      <c r="H126" s="20"/>
      <c r="I126" s="23">
        <v>9.8</v>
      </c>
      <c r="J126" s="20"/>
      <c r="K126" s="22">
        <v>135504</v>
      </c>
      <c r="L126" s="21"/>
      <c r="M126" s="22">
        <v>2</v>
      </c>
      <c r="N126" s="18"/>
    </row>
    <row x14ac:dyDescent="0.25" r="127" customHeight="1" ht="18.75">
      <c r="A127" s="4" t="s">
        <v>191</v>
      </c>
      <c r="B127" s="22">
        <v>4900000</v>
      </c>
      <c r="C127" s="23">
        <f>37127 + 8812.98</f>
      </c>
      <c r="D127" s="18"/>
      <c r="E127" s="22">
        <v>340</v>
      </c>
      <c r="F127" s="22">
        <v>1500000</v>
      </c>
      <c r="G127" s="20"/>
      <c r="H127" s="20"/>
      <c r="I127" s="19"/>
      <c r="J127" s="20"/>
      <c r="K127" s="22">
        <v>35420000</v>
      </c>
      <c r="L127" s="21"/>
      <c r="M127" s="22">
        <v>4</v>
      </c>
      <c r="N127" s="18"/>
    </row>
    <row x14ac:dyDescent="0.25" r="128" customHeight="1" ht="18.75">
      <c r="A128" s="4" t="s">
        <v>192</v>
      </c>
      <c r="B128" s="23">
        <v>41341.04</v>
      </c>
      <c r="C128" s="19"/>
      <c r="D128" s="18"/>
      <c r="E128" s="22">
        <v>220</v>
      </c>
      <c r="F128" s="22">
        <v>150000</v>
      </c>
      <c r="G128" s="20"/>
      <c r="H128" s="20"/>
      <c r="I128" s="23">
        <v>19.98</v>
      </c>
      <c r="J128" s="22">
        <v>146000</v>
      </c>
      <c r="K128" s="22">
        <v>95000</v>
      </c>
      <c r="L128" s="21"/>
      <c r="M128" s="22">
        <v>1</v>
      </c>
      <c r="N128" s="22">
        <v>17850</v>
      </c>
    </row>
    <row x14ac:dyDescent="0.25" r="129" customHeight="1" ht="18.75">
      <c r="A129" s="4" t="s">
        <v>193</v>
      </c>
      <c r="B129" s="22">
        <v>13500</v>
      </c>
      <c r="C129" s="19"/>
      <c r="D129" s="18"/>
      <c r="E129" s="22">
        <v>124</v>
      </c>
      <c r="F129" s="22">
        <v>320000</v>
      </c>
      <c r="G129" s="22">
        <v>55</v>
      </c>
      <c r="H129" s="22">
        <v>140000</v>
      </c>
      <c r="I129" s="19"/>
      <c r="J129" s="20"/>
      <c r="K129" s="22">
        <f>60000+80000+10000+131000+800000+10000+70000+300000</f>
      </c>
      <c r="L129" s="21"/>
      <c r="M129" s="22">
        <v>1</v>
      </c>
      <c r="N129" s="22">
        <v>245000</v>
      </c>
    </row>
    <row x14ac:dyDescent="0.25" r="130" customHeight="1" ht="18.75">
      <c r="A130" s="4" t="s">
        <v>194</v>
      </c>
      <c r="B130" s="22">
        <v>150758</v>
      </c>
      <c r="C130" s="23">
        <v>27893.07</v>
      </c>
      <c r="D130" s="18"/>
      <c r="E130" s="22">
        <v>150</v>
      </c>
      <c r="F130" s="22">
        <v>400000</v>
      </c>
      <c r="G130" s="22">
        <v>47</v>
      </c>
      <c r="H130" s="22">
        <v>120000</v>
      </c>
      <c r="I130" s="19"/>
      <c r="J130" s="20"/>
      <c r="K130" s="22">
        <f>5000+50000</f>
      </c>
      <c r="L130" s="21"/>
      <c r="M130" s="22">
        <v>1</v>
      </c>
      <c r="N130" s="22">
        <f>92850+109000</f>
      </c>
    </row>
    <row x14ac:dyDescent="0.25" r="131" customHeight="1" ht="18.75">
      <c r="A131" s="4" t="s">
        <v>195</v>
      </c>
      <c r="B131" s="23">
        <v>24171.45</v>
      </c>
      <c r="C131" s="19"/>
      <c r="D131" s="18"/>
      <c r="E131" s="22">
        <v>116</v>
      </c>
      <c r="F131" s="22">
        <v>200000</v>
      </c>
      <c r="G131" s="20"/>
      <c r="H131" s="20"/>
      <c r="I131" s="19"/>
      <c r="J131" s="20"/>
      <c r="K131" s="22">
        <v>105000</v>
      </c>
      <c r="L131" s="21"/>
      <c r="M131" s="22">
        <v>1</v>
      </c>
      <c r="N131" s="22">
        <f>50000+24150</f>
      </c>
    </row>
    <row x14ac:dyDescent="0.25" r="132" customHeight="1" ht="18.75">
      <c r="A132" s="4" t="s">
        <v>196</v>
      </c>
      <c r="B132" s="23">
        <v>566453.06</v>
      </c>
      <c r="C132" s="19"/>
      <c r="D132" s="23">
        <v>8668.29</v>
      </c>
      <c r="E132" s="20"/>
      <c r="F132" s="20"/>
      <c r="G132" s="22">
        <v>69</v>
      </c>
      <c r="H132" s="22">
        <v>320000</v>
      </c>
      <c r="I132" s="19"/>
      <c r="J132" s="20"/>
      <c r="K132" s="20"/>
      <c r="L132" s="21"/>
      <c r="M132" s="22">
        <v>1</v>
      </c>
      <c r="N132" s="23">
        <f>54406.96+23800</f>
      </c>
    </row>
    <row x14ac:dyDescent="0.25" r="133" customHeight="1" ht="18.75">
      <c r="A133" s="4" t="s">
        <v>197</v>
      </c>
      <c r="B133" s="22">
        <v>280000</v>
      </c>
      <c r="C133" s="23">
        <f>13176.45</f>
      </c>
      <c r="D133" s="18"/>
      <c r="E133" s="20" t="s">
        <v>198</v>
      </c>
      <c r="F133" s="20" t="s">
        <v>199</v>
      </c>
      <c r="G133" s="20"/>
      <c r="H133" s="20"/>
      <c r="I133" s="23">
        <v>6.556</v>
      </c>
      <c r="J133" s="22">
        <v>120000</v>
      </c>
      <c r="K133" s="22">
        <f>200000+500000</f>
      </c>
      <c r="L133" s="21"/>
      <c r="M133" s="22">
        <v>2</v>
      </c>
      <c r="N133" s="23">
        <f>16497+15000+97878.44</f>
      </c>
    </row>
    <row x14ac:dyDescent="0.25" r="134" customHeight="1" ht="18.75">
      <c r="A134" s="4" t="s">
        <v>200</v>
      </c>
      <c r="B134" s="23">
        <v>4888.34</v>
      </c>
      <c r="C134" s="19"/>
      <c r="D134" s="18"/>
      <c r="E134" s="20"/>
      <c r="F134" s="20"/>
      <c r="G134" s="23">
        <v>51.57</v>
      </c>
      <c r="H134" s="22">
        <v>380000</v>
      </c>
      <c r="I134" s="19"/>
      <c r="J134" s="20"/>
      <c r="K134" s="20"/>
      <c r="L134" s="21"/>
      <c r="M134" s="22">
        <v>1</v>
      </c>
      <c r="N134" s="23">
        <f>45389.61+28275</f>
      </c>
    </row>
    <row x14ac:dyDescent="0.25" r="135" customHeight="1" ht="18.75">
      <c r="A135" s="4" t="s">
        <v>201</v>
      </c>
      <c r="B135" s="22">
        <v>474000</v>
      </c>
      <c r="C135" s="19"/>
      <c r="D135" s="18"/>
      <c r="E135" s="22">
        <v>140</v>
      </c>
      <c r="F135" s="22">
        <v>420000</v>
      </c>
      <c r="G135" s="20"/>
      <c r="H135" s="20"/>
      <c r="I135" s="19"/>
      <c r="J135" s="20"/>
      <c r="K135" s="22">
        <v>100000</v>
      </c>
      <c r="L135" s="21"/>
      <c r="M135" s="22">
        <v>2</v>
      </c>
      <c r="N135" s="22">
        <v>13200</v>
      </c>
    </row>
    <row x14ac:dyDescent="0.25" r="136" customHeight="1" ht="18.75">
      <c r="A136" s="4" t="s">
        <v>202</v>
      </c>
      <c r="B136" s="23">
        <v>205376.84</v>
      </c>
      <c r="C136" s="23">
        <f>70103.94+1112891.7</f>
      </c>
      <c r="D136" s="18"/>
      <c r="E136" s="20"/>
      <c r="F136" s="20"/>
      <c r="G136" s="20" t="s">
        <v>203</v>
      </c>
      <c r="H136" s="20" t="s">
        <v>204</v>
      </c>
      <c r="I136" s="19"/>
      <c r="J136" s="20"/>
      <c r="K136" s="22">
        <f>53200</f>
      </c>
      <c r="L136" s="21"/>
      <c r="M136" s="22">
        <v>1</v>
      </c>
      <c r="N136" s="23">
        <f>595119.81</f>
      </c>
    </row>
    <row x14ac:dyDescent="0.25" r="137" customHeight="1" ht="18.75">
      <c r="A137" s="4" t="s">
        <v>205</v>
      </c>
      <c r="B137" s="22">
        <v>10000</v>
      </c>
      <c r="C137" s="23">
        <f>439.24</f>
      </c>
      <c r="D137" s="18"/>
      <c r="E137" s="20"/>
      <c r="F137" s="20"/>
      <c r="G137" s="23">
        <v>32.8</v>
      </c>
      <c r="H137" s="22">
        <v>150000</v>
      </c>
      <c r="I137" s="19"/>
      <c r="J137" s="20"/>
      <c r="K137" s="20"/>
      <c r="L137" s="21"/>
      <c r="M137" s="22">
        <v>2</v>
      </c>
      <c r="N137" s="23">
        <f>32000+25500+106514.03+117086</f>
      </c>
    </row>
    <row x14ac:dyDescent="0.25" r="138" customHeight="1" ht="18.75">
      <c r="A138" s="4" t="s">
        <v>206</v>
      </c>
      <c r="B138" s="22">
        <v>48500</v>
      </c>
      <c r="C138" s="19"/>
      <c r="D138" s="18"/>
      <c r="E138" s="20"/>
      <c r="F138" s="20"/>
      <c r="G138" s="20"/>
      <c r="H138" s="20"/>
      <c r="I138" s="19"/>
      <c r="J138" s="20"/>
      <c r="K138" s="22">
        <v>200000</v>
      </c>
      <c r="L138" s="21"/>
      <c r="M138" s="22">
        <v>1</v>
      </c>
      <c r="N138" s="23">
        <f>127590.53+133824.39+62959.68</f>
      </c>
    </row>
    <row x14ac:dyDescent="0.25" r="139" customHeight="1" ht="18.75">
      <c r="A139" s="4" t="s">
        <v>207</v>
      </c>
      <c r="B139" s="22">
        <v>81400</v>
      </c>
      <c r="C139" s="19"/>
      <c r="D139" s="22">
        <f>21800</f>
      </c>
      <c r="E139" s="20"/>
      <c r="F139" s="20"/>
      <c r="G139" s="22">
        <v>67</v>
      </c>
      <c r="H139" s="22">
        <v>400000</v>
      </c>
      <c r="I139" s="19"/>
      <c r="J139" s="20"/>
      <c r="K139" s="20"/>
      <c r="L139" s="21"/>
      <c r="M139" s="22">
        <v>1</v>
      </c>
      <c r="N139" s="23">
        <f>29816.46</f>
      </c>
    </row>
    <row x14ac:dyDescent="0.25" r="140" customHeight="1" ht="18.75">
      <c r="A140" s="4" t="s">
        <v>208</v>
      </c>
      <c r="B140" s="23">
        <f>37912.06+300</f>
      </c>
      <c r="C140" s="19"/>
      <c r="D140" s="23">
        <v>28047.71</v>
      </c>
      <c r="E140" s="20"/>
      <c r="F140" s="20"/>
      <c r="G140" s="23">
        <v>84.55</v>
      </c>
      <c r="H140" s="22">
        <v>610000</v>
      </c>
      <c r="I140" s="19"/>
      <c r="J140" s="20"/>
      <c r="K140" s="20"/>
      <c r="L140" s="21"/>
      <c r="M140" s="22">
        <v>2</v>
      </c>
      <c r="N140" s="23">
        <f>20000+358003.8 +30000+30000</f>
      </c>
    </row>
    <row x14ac:dyDescent="0.25" r="141" customHeight="1" ht="18.75">
      <c r="A141" s="4" t="s">
        <v>209</v>
      </c>
      <c r="B141" s="22">
        <v>40000</v>
      </c>
      <c r="C141" s="19"/>
      <c r="D141" s="18"/>
      <c r="E141" s="22">
        <v>180</v>
      </c>
      <c r="F141" s="22">
        <v>500000</v>
      </c>
      <c r="G141" s="20"/>
      <c r="H141" s="20"/>
      <c r="I141" s="19"/>
      <c r="J141" s="20"/>
      <c r="K141" s="20"/>
      <c r="L141" s="21"/>
      <c r="M141" s="22">
        <v>1</v>
      </c>
      <c r="N141" s="23">
        <f>61311.05+105690+17850</f>
      </c>
    </row>
    <row x14ac:dyDescent="0.25" r="142" customHeight="1" ht="18.75">
      <c r="A142" s="4" t="s">
        <v>210</v>
      </c>
      <c r="B142" s="22">
        <v>17378</v>
      </c>
      <c r="C142" s="19"/>
      <c r="D142" s="18"/>
      <c r="E142" s="20"/>
      <c r="F142" s="20"/>
      <c r="G142" s="22">
        <v>67</v>
      </c>
      <c r="H142" s="22">
        <v>200000</v>
      </c>
      <c r="I142" s="19"/>
      <c r="J142" s="20"/>
      <c r="K142" s="20"/>
      <c r="L142" s="21"/>
      <c r="M142" s="22">
        <v>1</v>
      </c>
      <c r="N142" s="23">
        <f>416065.88+47900+30000</f>
      </c>
    </row>
    <row x14ac:dyDescent="0.25" r="143" customHeight="1" ht="18.75">
      <c r="A143" s="4" t="s">
        <v>211</v>
      </c>
      <c r="B143" s="22">
        <v>137000</v>
      </c>
      <c r="C143" s="23">
        <f>557.93+986.41+1317.54</f>
      </c>
      <c r="D143" s="18"/>
      <c r="E143" s="22">
        <v>101</v>
      </c>
      <c r="F143" s="22">
        <v>500000</v>
      </c>
      <c r="G143" s="20" t="s">
        <v>212</v>
      </c>
      <c r="H143" s="20" t="s">
        <v>213</v>
      </c>
      <c r="I143" s="19"/>
      <c r="J143" s="20"/>
      <c r="K143" s="20"/>
      <c r="L143" s="21"/>
      <c r="M143" s="22">
        <v>1</v>
      </c>
      <c r="N143" s="22">
        <f>110000+35000</f>
      </c>
    </row>
    <row x14ac:dyDescent="0.25" r="144" customHeight="1" ht="18.75">
      <c r="A144" s="4" t="s">
        <v>214</v>
      </c>
      <c r="B144" s="23">
        <f>155907.8+13298+67727.66</f>
      </c>
      <c r="C144" s="19"/>
      <c r="D144" s="18"/>
      <c r="E144" s="22">
        <v>234</v>
      </c>
      <c r="F144" s="22">
        <v>350000</v>
      </c>
      <c r="G144" s="23">
        <v>35.27</v>
      </c>
      <c r="H144" s="22">
        <v>75000</v>
      </c>
      <c r="I144" s="23">
        <v>13.7</v>
      </c>
      <c r="J144" s="22">
        <v>350000</v>
      </c>
      <c r="K144" s="22">
        <f>10000+240000+20000+10000+350000</f>
      </c>
      <c r="L144" s="21"/>
      <c r="M144" s="22">
        <v>3</v>
      </c>
      <c r="N144" s="23">
        <f>20000+2732.28</f>
      </c>
    </row>
    <row x14ac:dyDescent="0.25" r="145" customHeight="1" ht="18.75">
      <c r="A145" s="4" t="s">
        <v>215</v>
      </c>
      <c r="B145" s="22">
        <v>20000</v>
      </c>
      <c r="C145" s="19"/>
      <c r="D145" s="23">
        <v>59831.7</v>
      </c>
      <c r="E145" s="20" t="s">
        <v>216</v>
      </c>
      <c r="F145" s="20" t="s">
        <v>217</v>
      </c>
      <c r="G145" s="20"/>
      <c r="H145" s="20"/>
      <c r="I145" s="19"/>
      <c r="J145" s="20"/>
      <c r="K145" s="20"/>
      <c r="L145" s="21"/>
      <c r="M145" s="22">
        <v>2</v>
      </c>
      <c r="N145" s="23">
        <f>288688.94+91035.84+64559.25</f>
      </c>
    </row>
    <row x14ac:dyDescent="0.25" r="146" customHeight="1" ht="18.75">
      <c r="A146" s="4" t="s">
        <v>218</v>
      </c>
      <c r="B146" s="23">
        <f>37900+999+10972+6000+10514.38+2200</f>
      </c>
      <c r="C146" s="19"/>
      <c r="D146" s="18"/>
      <c r="E146" s="22">
        <v>232</v>
      </c>
      <c r="F146" s="22">
        <v>600000</v>
      </c>
      <c r="G146" s="23">
        <v>30.1</v>
      </c>
      <c r="H146" s="22">
        <v>270000</v>
      </c>
      <c r="I146" s="19"/>
      <c r="J146" s="20"/>
      <c r="K146" s="22">
        <f>240000+70000+180000+5000+135000</f>
      </c>
      <c r="L146" s="21"/>
      <c r="M146" s="22">
        <v>3</v>
      </c>
      <c r="N146" s="23">
        <f>44004.67+31216.85+35700</f>
      </c>
    </row>
    <row x14ac:dyDescent="0.25" r="147" customHeight="1" ht="18.75">
      <c r="A147" s="4" t="s">
        <v>219</v>
      </c>
      <c r="B147" s="23">
        <f>29000+16598.29+2761.44</f>
      </c>
      <c r="C147" s="23">
        <f>5026.5+12732.91+7900.17</f>
      </c>
      <c r="D147" s="23">
        <f>21020.4</f>
      </c>
      <c r="E147" s="23">
        <v>123.66</v>
      </c>
      <c r="F147" s="22">
        <v>650000</v>
      </c>
      <c r="G147" s="23">
        <v>41.63</v>
      </c>
      <c r="H147" s="22">
        <v>310000</v>
      </c>
      <c r="I147" s="19"/>
      <c r="J147" s="20"/>
      <c r="K147" s="22">
        <v>200000</v>
      </c>
      <c r="L147" s="21"/>
      <c r="M147" s="22">
        <v>0</v>
      </c>
      <c r="N147" s="23">
        <f>344239.55 +240704.6</f>
      </c>
    </row>
    <row x14ac:dyDescent="0.25" r="148" customHeight="1" ht="18.75">
      <c r="A148" s="4" t="s">
        <v>220</v>
      </c>
      <c r="B148" s="23">
        <f>144698.03</f>
      </c>
      <c r="C148" s="23">
        <f>1419.94+2637.82</f>
      </c>
      <c r="D148" s="23">
        <f>10460.62</f>
      </c>
      <c r="E148" s="20"/>
      <c r="F148" s="20"/>
      <c r="G148" s="20" t="s">
        <v>221</v>
      </c>
      <c r="H148" s="20" t="s">
        <v>222</v>
      </c>
      <c r="I148" s="19"/>
      <c r="J148" s="20"/>
      <c r="K148" s="22">
        <f>52500+24000</f>
      </c>
      <c r="L148" s="21"/>
      <c r="M148" s="22">
        <v>1</v>
      </c>
      <c r="N148" s="22">
        <f>411612</f>
      </c>
    </row>
    <row x14ac:dyDescent="0.25" r="149" customHeight="1" ht="18.75">
      <c r="A149" s="4" t="s">
        <v>223</v>
      </c>
      <c r="B149" s="22">
        <v>50000</v>
      </c>
      <c r="C149" s="19"/>
      <c r="D149" s="18"/>
      <c r="E149" s="22">
        <v>147</v>
      </c>
      <c r="F149" s="22">
        <v>750000</v>
      </c>
      <c r="G149" s="20"/>
      <c r="H149" s="20"/>
      <c r="I149" s="19"/>
      <c r="J149" s="20"/>
      <c r="K149" s="22">
        <v>280000</v>
      </c>
      <c r="L149" s="21"/>
      <c r="M149" s="22">
        <v>1</v>
      </c>
      <c r="N149" s="23">
        <f>159524.68+25500</f>
      </c>
    </row>
    <row x14ac:dyDescent="0.25" r="150" customHeight="1" ht="18.75">
      <c r="A150" s="4" t="s">
        <v>224</v>
      </c>
      <c r="B150" s="23">
        <f>130341.24</f>
      </c>
      <c r="C150" s="19"/>
      <c r="D150" s="18"/>
      <c r="E150" s="20"/>
      <c r="F150" s="20"/>
      <c r="G150" s="20"/>
      <c r="H150" s="20"/>
      <c r="I150" s="23">
        <v>16.63</v>
      </c>
      <c r="J150" s="22">
        <v>190000</v>
      </c>
      <c r="K150" s="20"/>
      <c r="L150" s="21"/>
      <c r="M150" s="22">
        <v>1</v>
      </c>
      <c r="N150" s="18"/>
    </row>
    <row x14ac:dyDescent="0.25" r="151" customHeight="1" ht="18.75">
      <c r="A151" s="4" t="s">
        <v>225</v>
      </c>
      <c r="B151" s="22">
        <v>30750</v>
      </c>
      <c r="C151" s="23">
        <f>4.65+219.55</f>
      </c>
      <c r="D151" s="18"/>
      <c r="E151" s="20"/>
      <c r="F151" s="20"/>
      <c r="G151" s="23">
        <v>48.03</v>
      </c>
      <c r="H151" s="22">
        <v>140000</v>
      </c>
      <c r="I151" s="19"/>
      <c r="J151" s="20"/>
      <c r="K151" s="20"/>
      <c r="L151" s="21"/>
      <c r="M151" s="22">
        <v>1</v>
      </c>
      <c r="N151" s="18"/>
    </row>
    <row x14ac:dyDescent="0.25" r="152" customHeight="1" ht="18.75">
      <c r="A152" s="4" t="s">
        <v>226</v>
      </c>
      <c r="B152" s="22">
        <v>142000</v>
      </c>
      <c r="C152" s="19"/>
      <c r="D152" s="18"/>
      <c r="E152" s="22">
        <v>150</v>
      </c>
      <c r="F152" s="22">
        <v>1500000</v>
      </c>
      <c r="G152" s="20"/>
      <c r="H152" s="20"/>
      <c r="I152" s="19"/>
      <c r="J152" s="20"/>
      <c r="K152" s="20"/>
      <c r="L152" s="21"/>
      <c r="M152" s="22">
        <v>0</v>
      </c>
      <c r="N152" s="22">
        <v>57000</v>
      </c>
    </row>
    <row x14ac:dyDescent="0.25" r="153" customHeight="1" ht="18.75">
      <c r="A153" s="4" t="s">
        <v>227</v>
      </c>
      <c r="B153" s="22">
        <v>340000</v>
      </c>
      <c r="C153" s="19"/>
      <c r="D153" s="18"/>
      <c r="E153" s="22">
        <v>180</v>
      </c>
      <c r="F153" s="22">
        <v>300000</v>
      </c>
      <c r="G153" s="20"/>
      <c r="H153" s="20"/>
      <c r="I153" s="23">
        <f>5.08+1.18</f>
      </c>
      <c r="J153" s="22">
        <f>70000</f>
      </c>
      <c r="K153" s="20"/>
      <c r="L153" s="21"/>
      <c r="M153" s="22">
        <v>2</v>
      </c>
      <c r="N153" s="18"/>
    </row>
    <row x14ac:dyDescent="0.25" r="154" customHeight="1" ht="18.75">
      <c r="A154" s="4" t="s">
        <v>228</v>
      </c>
      <c r="B154" s="22">
        <v>250000</v>
      </c>
      <c r="C154" s="19"/>
      <c r="D154" s="18"/>
      <c r="E154" s="20"/>
      <c r="F154" s="20"/>
      <c r="G154" s="22">
        <v>61</v>
      </c>
      <c r="H154" s="22">
        <v>610000</v>
      </c>
      <c r="I154" s="19"/>
      <c r="J154" s="20"/>
      <c r="K154" s="20"/>
      <c r="L154" s="21"/>
      <c r="M154" s="22">
        <v>0</v>
      </c>
      <c r="N154" s="22">
        <f>245000+1484</f>
      </c>
    </row>
    <row x14ac:dyDescent="0.25" r="155" customHeight="1" ht="18.75">
      <c r="A155" s="4" t="s">
        <v>229</v>
      </c>
      <c r="B155" s="22">
        <v>4000</v>
      </c>
      <c r="C155" s="19"/>
      <c r="D155" s="18"/>
      <c r="E155" s="20"/>
      <c r="F155" s="20"/>
      <c r="G155" s="23">
        <v>48.15</v>
      </c>
      <c r="H155" s="22">
        <v>180000</v>
      </c>
      <c r="I155" s="19"/>
      <c r="J155" s="20"/>
      <c r="K155" s="22">
        <f>290000*2</f>
      </c>
      <c r="L155" s="22">
        <v>3750</v>
      </c>
      <c r="M155" s="22">
        <v>1</v>
      </c>
      <c r="N155" s="23">
        <f>31000+263083.14+138285.17+48700</f>
      </c>
    </row>
    <row x14ac:dyDescent="0.25" r="156" customHeight="1" ht="18.75">
      <c r="A156" s="4" t="s">
        <v>230</v>
      </c>
      <c r="B156" s="22">
        <f>20000+45000</f>
      </c>
      <c r="C156" s="19"/>
      <c r="D156" s="18"/>
      <c r="E156" s="20"/>
      <c r="F156" s="20"/>
      <c r="G156" s="23">
        <v>59.8</v>
      </c>
      <c r="H156" s="22">
        <v>290000</v>
      </c>
      <c r="I156" s="19"/>
      <c r="J156" s="20"/>
      <c r="K156" s="22">
        <v>130000</v>
      </c>
      <c r="L156" s="22">
        <v>600</v>
      </c>
      <c r="M156" s="22">
        <v>1</v>
      </c>
      <c r="N156" s="22">
        <f>11900+168361.14+99382.86</f>
      </c>
    </row>
    <row x14ac:dyDescent="0.25" r="157" customHeight="1" ht="18.75">
      <c r="A157" s="4" t="s">
        <v>231</v>
      </c>
      <c r="B157" s="22">
        <v>15000</v>
      </c>
      <c r="C157" s="19"/>
      <c r="D157" s="18"/>
      <c r="E157" s="20"/>
      <c r="F157" s="20"/>
      <c r="G157" s="22">
        <v>39</v>
      </c>
      <c r="H157" s="22">
        <v>350000</v>
      </c>
      <c r="I157" s="19"/>
      <c r="J157" s="20"/>
      <c r="K157" s="20"/>
      <c r="L157" s="21"/>
      <c r="M157" s="22">
        <v>0</v>
      </c>
      <c r="N157" s="23">
        <v>98392.2</v>
      </c>
    </row>
    <row x14ac:dyDescent="0.25" r="158" customHeight="1" ht="18.75">
      <c r="A158" s="4" t="s">
        <v>232</v>
      </c>
      <c r="B158" s="23">
        <f>50000+23792.82</f>
      </c>
      <c r="C158" s="23">
        <f>2092.87+30730.35+1808.25</f>
      </c>
      <c r="D158" s="23">
        <f>21256.14</f>
      </c>
      <c r="E158" s="20"/>
      <c r="F158" s="20"/>
      <c r="G158" s="20"/>
      <c r="H158" s="20"/>
      <c r="I158" s="19"/>
      <c r="J158" s="20"/>
      <c r="K158" s="20"/>
      <c r="L158" s="21"/>
      <c r="M158" s="22">
        <v>0</v>
      </c>
      <c r="N158" s="18"/>
    </row>
    <row x14ac:dyDescent="0.25" r="159" customHeight="1" ht="18.75">
      <c r="A159" s="4" t="s">
        <v>233</v>
      </c>
      <c r="B159" s="22">
        <v>85000</v>
      </c>
      <c r="C159" s="19"/>
      <c r="D159" s="18"/>
      <c r="E159" s="22">
        <v>140</v>
      </c>
      <c r="F159" s="22">
        <v>350000</v>
      </c>
      <c r="G159" s="23">
        <v>55.8</v>
      </c>
      <c r="H159" s="22">
        <v>260000</v>
      </c>
      <c r="I159" s="19"/>
      <c r="J159" s="20"/>
      <c r="K159" s="22">
        <f>30000+10000+38000</f>
      </c>
      <c r="L159" s="21"/>
      <c r="M159" s="22">
        <v>1</v>
      </c>
      <c r="N159" s="23">
        <f>7944.19+40000</f>
      </c>
    </row>
    <row x14ac:dyDescent="0.25" r="160" customHeight="1" ht="18.75">
      <c r="A160" s="4" t="s">
        <v>234</v>
      </c>
      <c r="B160" s="22">
        <v>95500</v>
      </c>
      <c r="C160" s="19"/>
      <c r="D160" s="22">
        <v>20000</v>
      </c>
      <c r="E160" s="22">
        <v>200</v>
      </c>
      <c r="F160" s="22">
        <v>430000</v>
      </c>
      <c r="G160" s="20"/>
      <c r="H160" s="22">
        <v>140850</v>
      </c>
      <c r="I160" s="22">
        <v>4</v>
      </c>
      <c r="J160" s="22">
        <v>50000</v>
      </c>
      <c r="K160" s="20"/>
      <c r="L160" s="21"/>
      <c r="M160" s="22">
        <v>3</v>
      </c>
      <c r="N160" s="22">
        <f>57000</f>
      </c>
    </row>
    <row x14ac:dyDescent="0.25" r="161" customHeight="1" ht="18.75">
      <c r="A161" s="4" t="s">
        <v>235</v>
      </c>
      <c r="B161" s="22">
        <v>260900</v>
      </c>
      <c r="C161" s="23">
        <f>6071.85</f>
      </c>
      <c r="D161" s="18"/>
      <c r="E161" s="23">
        <v>142.8</v>
      </c>
      <c r="F161" s="22">
        <v>640000</v>
      </c>
      <c r="G161" s="20"/>
      <c r="H161" s="20"/>
      <c r="I161" s="19"/>
      <c r="J161" s="20"/>
      <c r="K161" s="22">
        <f>700000</f>
      </c>
      <c r="L161" s="21"/>
      <c r="M161" s="22">
        <v>2</v>
      </c>
      <c r="N161" s="22">
        <v>60000</v>
      </c>
    </row>
    <row x14ac:dyDescent="0.25" r="162" customHeight="1" ht="18.75">
      <c r="A162" s="4" t="s">
        <v>236</v>
      </c>
      <c r="B162" s="22">
        <v>137000</v>
      </c>
      <c r="C162" s="19"/>
      <c r="D162" s="18"/>
      <c r="E162" s="20"/>
      <c r="F162" s="20"/>
      <c r="G162" s="20" t="s">
        <v>237</v>
      </c>
      <c r="H162" s="20" t="s">
        <v>238</v>
      </c>
      <c r="I162" s="19"/>
      <c r="J162" s="20"/>
      <c r="K162" s="20"/>
      <c r="L162" s="21"/>
      <c r="M162" s="22">
        <v>1</v>
      </c>
      <c r="N162" s="23">
        <f>487000+67841.71</f>
      </c>
    </row>
    <row x14ac:dyDescent="0.25" r="163" customHeight="1" ht="18.75">
      <c r="A163" s="4" t="s">
        <v>239</v>
      </c>
      <c r="B163" s="22">
        <v>196000</v>
      </c>
      <c r="C163" s="23">
        <f>465.12</f>
      </c>
      <c r="D163" s="18"/>
      <c r="E163" s="23">
        <v>180.6</v>
      </c>
      <c r="F163" s="22">
        <v>300000</v>
      </c>
      <c r="G163" s="20" t="s">
        <v>240</v>
      </c>
      <c r="H163" s="20" t="s">
        <v>241</v>
      </c>
      <c r="I163" s="23">
        <v>4.63</v>
      </c>
      <c r="J163" s="22">
        <v>50000</v>
      </c>
      <c r="K163" s="22">
        <f>24400+25000</f>
      </c>
      <c r="L163" s="21"/>
      <c r="M163" s="22">
        <v>0</v>
      </c>
      <c r="N163" s="22">
        <f>247190.17+108856.83</f>
      </c>
    </row>
    <row x14ac:dyDescent="0.25" r="164" customHeight="1" ht="18.75">
      <c r="A164" s="4" t="s">
        <v>242</v>
      </c>
      <c r="B164" s="22">
        <v>200000</v>
      </c>
      <c r="C164" s="19"/>
      <c r="D164" s="18"/>
      <c r="E164" s="20" t="s">
        <v>243</v>
      </c>
      <c r="F164" s="20" t="s">
        <v>244</v>
      </c>
      <c r="G164" s="20"/>
      <c r="H164" s="20"/>
      <c r="I164" s="19"/>
      <c r="J164" s="20"/>
      <c r="K164" s="22">
        <v>7500</v>
      </c>
      <c r="L164" s="21"/>
      <c r="M164" s="22">
        <v>2</v>
      </c>
      <c r="N164" s="18"/>
    </row>
    <row x14ac:dyDescent="0.25" r="165" customHeight="1" ht="18.75">
      <c r="A165" s="4" t="s">
        <v>245</v>
      </c>
      <c r="B165" s="22">
        <v>16000</v>
      </c>
      <c r="C165" s="19"/>
      <c r="D165" s="18"/>
      <c r="E165" s="22">
        <v>215</v>
      </c>
      <c r="F165" s="22">
        <v>300000</v>
      </c>
      <c r="G165" s="20"/>
      <c r="H165" s="20"/>
      <c r="I165" s="23">
        <v>12.39</v>
      </c>
      <c r="J165" s="22">
        <v>400000</v>
      </c>
      <c r="K165" s="22">
        <f>150000*2 + 1400000+400000</f>
      </c>
      <c r="L165" s="21"/>
      <c r="M165" s="22">
        <v>2</v>
      </c>
      <c r="N165" s="23">
        <f>68441.15+65960.75+46933.63</f>
      </c>
    </row>
    <row x14ac:dyDescent="0.25" r="166" customHeight="1" ht="18.75">
      <c r="A166" s="4" t="s">
        <v>246</v>
      </c>
      <c r="B166" s="22">
        <v>118000</v>
      </c>
      <c r="C166" s="23">
        <f>5279.06+118.62</f>
      </c>
      <c r="D166" s="18"/>
      <c r="E166" s="20"/>
      <c r="F166" s="20"/>
      <c r="G166" s="23">
        <v>29.4</v>
      </c>
      <c r="H166" s="22">
        <v>90000</v>
      </c>
      <c r="I166" s="19"/>
      <c r="J166" s="20"/>
      <c r="K166" s="20"/>
      <c r="L166" s="21"/>
      <c r="M166" s="22">
        <v>3</v>
      </c>
      <c r="N166" s="18"/>
    </row>
    <row x14ac:dyDescent="0.25" r="167" customHeight="1" ht="18.75">
      <c r="A167" s="4" t="s">
        <v>247</v>
      </c>
      <c r="B167" s="22">
        <v>1250</v>
      </c>
      <c r="C167" s="19"/>
      <c r="D167" s="18"/>
      <c r="E167" s="20"/>
      <c r="F167" s="20"/>
      <c r="G167" s="22">
        <v>35</v>
      </c>
      <c r="H167" s="22">
        <v>475000</v>
      </c>
      <c r="I167" s="19"/>
      <c r="J167" s="20"/>
      <c r="K167" s="20"/>
      <c r="L167" s="21"/>
      <c r="M167" s="22">
        <v>0</v>
      </c>
      <c r="N167" s="23">
        <f>233807+49481+9700+14048.63+17850</f>
      </c>
    </row>
    <row x14ac:dyDescent="0.25" r="168" customHeight="1" ht="18.75">
      <c r="A168" s="4" t="s">
        <v>248</v>
      </c>
      <c r="B168" s="22">
        <v>145000</v>
      </c>
      <c r="C168" s="19"/>
      <c r="D168" s="18"/>
      <c r="E168" s="22">
        <v>185</v>
      </c>
      <c r="F168" s="22">
        <v>630000</v>
      </c>
      <c r="G168" s="20"/>
      <c r="H168" s="20"/>
      <c r="I168" s="19"/>
      <c r="J168" s="20"/>
      <c r="K168" s="22">
        <v>70000</v>
      </c>
      <c r="L168" s="21"/>
      <c r="M168" s="22">
        <v>1</v>
      </c>
      <c r="N168" s="18"/>
    </row>
    <row x14ac:dyDescent="0.25" r="169" customHeight="1" ht="18.75">
      <c r="A169" s="4" t="s">
        <v>249</v>
      </c>
      <c r="B169" s="22">
        <v>13000</v>
      </c>
      <c r="C169" s="23">
        <f>1394.8</f>
      </c>
      <c r="D169" s="22">
        <v>200</v>
      </c>
      <c r="E169" s="20" t="s">
        <v>250</v>
      </c>
      <c r="F169" s="20" t="s">
        <v>251</v>
      </c>
      <c r="G169" s="22">
        <v>75</v>
      </c>
      <c r="H169" s="22">
        <v>425000</v>
      </c>
      <c r="I169" s="19"/>
      <c r="J169" s="20"/>
      <c r="K169" s="22">
        <f>30000</f>
      </c>
      <c r="L169" s="21"/>
      <c r="M169" s="22">
        <v>1</v>
      </c>
      <c r="N169" s="23">
        <f>213869.78+231500+22950</f>
      </c>
    </row>
    <row x14ac:dyDescent="0.25" r="170" customHeight="1" ht="18.75">
      <c r="A170" s="4" t="s">
        <v>252</v>
      </c>
      <c r="B170" s="22">
        <v>62000</v>
      </c>
      <c r="C170" s="23">
        <f>14877.9</f>
      </c>
      <c r="D170" s="23">
        <f>64.32+904</f>
      </c>
      <c r="E170" s="20"/>
      <c r="F170" s="20"/>
      <c r="G170" s="20"/>
      <c r="H170" s="20"/>
      <c r="I170" s="19"/>
      <c r="J170" s="20"/>
      <c r="K170" s="20"/>
      <c r="L170" s="21"/>
      <c r="M170" s="22">
        <v>4</v>
      </c>
      <c r="N170" s="23">
        <f>21004.54+60806.12+30000</f>
      </c>
    </row>
    <row x14ac:dyDescent="0.25" r="171" customHeight="1" ht="18.75">
      <c r="A171" s="4" t="s">
        <v>253</v>
      </c>
      <c r="B171" s="22">
        <f>9000+27000</f>
      </c>
      <c r="C171" s="23">
        <f>79038.83</f>
      </c>
      <c r="D171" s="18"/>
      <c r="E171" s="22">
        <v>188</v>
      </c>
      <c r="F171" s="22">
        <v>1000000</v>
      </c>
      <c r="G171" s="20"/>
      <c r="H171" s="20"/>
      <c r="I171" s="19"/>
      <c r="J171" s="20"/>
      <c r="K171" s="22">
        <f>350000+4500000+1000000+230000+100000</f>
      </c>
      <c r="L171" s="22">
        <v>2000</v>
      </c>
      <c r="M171" s="22">
        <v>0</v>
      </c>
      <c r="N171" s="23">
        <f>79398.36+37790.62</f>
      </c>
    </row>
    <row x14ac:dyDescent="0.25" r="172" customHeight="1" ht="18.75">
      <c r="A172" s="4" t="s">
        <v>254</v>
      </c>
      <c r="B172" s="22">
        <f>8500</f>
      </c>
      <c r="C172" s="19"/>
      <c r="D172" s="18"/>
      <c r="E172" s="20"/>
      <c r="F172" s="20"/>
      <c r="G172" s="23">
        <v>86.24</v>
      </c>
      <c r="H172" s="22">
        <v>600000</v>
      </c>
      <c r="I172" s="19"/>
      <c r="J172" s="20"/>
      <c r="K172" s="22">
        <f>26000+20000+200000+50000</f>
      </c>
      <c r="L172" s="21"/>
      <c r="M172" s="22">
        <v>1</v>
      </c>
      <c r="N172" s="22">
        <f>50000</f>
      </c>
    </row>
    <row x14ac:dyDescent="0.25" r="173" customHeight="1" ht="18.75">
      <c r="A173" s="4" t="s">
        <v>255</v>
      </c>
      <c r="B173" s="22">
        <f>135000</f>
      </c>
      <c r="C173" s="19"/>
      <c r="D173" s="23">
        <v>8129.6</v>
      </c>
      <c r="E173" s="22">
        <v>480</v>
      </c>
      <c r="F173" s="22">
        <v>1700000</v>
      </c>
      <c r="G173" s="20"/>
      <c r="H173" s="20"/>
      <c r="I173" s="19"/>
      <c r="J173" s="20"/>
      <c r="K173" s="22">
        <f>295</f>
      </c>
      <c r="L173" s="21"/>
      <c r="M173" s="22">
        <v>2</v>
      </c>
      <c r="N173" s="23">
        <f>9699940.22</f>
      </c>
    </row>
    <row x14ac:dyDescent="0.25" r="174" customHeight="1" ht="18.75">
      <c r="A174" s="4" t="s">
        <v>256</v>
      </c>
      <c r="B174" s="23">
        <v>3480.06</v>
      </c>
      <c r="C174" s="19"/>
      <c r="D174" s="18"/>
      <c r="E174" s="22">
        <v>180</v>
      </c>
      <c r="F174" s="22">
        <v>550000</v>
      </c>
      <c r="G174" s="20"/>
      <c r="H174" s="20"/>
      <c r="I174" s="19"/>
      <c r="J174" s="20"/>
      <c r="K174" s="22">
        <v>130000</v>
      </c>
      <c r="L174" s="21"/>
      <c r="M174" s="22">
        <v>3</v>
      </c>
      <c r="N174" s="23">
        <f>335649.56</f>
      </c>
    </row>
    <row x14ac:dyDescent="0.25" r="175" customHeight="1" ht="18.75">
      <c r="A175" s="4" t="s">
        <v>257</v>
      </c>
      <c r="B175" s="22">
        <v>145000</v>
      </c>
      <c r="C175" s="19"/>
      <c r="D175" s="18"/>
      <c r="E175" s="23">
        <v>169.53</v>
      </c>
      <c r="F175" s="22">
        <v>500000</v>
      </c>
      <c r="G175" s="20"/>
      <c r="H175" s="20"/>
      <c r="I175" s="23">
        <v>1.02</v>
      </c>
      <c r="J175" s="22">
        <v>15000</v>
      </c>
      <c r="K175" s="22">
        <f>270000</f>
      </c>
      <c r="L175" s="21"/>
      <c r="M175" s="22">
        <v>2</v>
      </c>
      <c r="N175" s="23">
        <f>382543.69</f>
      </c>
    </row>
    <row x14ac:dyDescent="0.25" r="176" customHeight="1" ht="18.75">
      <c r="A176" s="4" t="s">
        <v>258</v>
      </c>
      <c r="B176" s="22">
        <v>25000</v>
      </c>
      <c r="C176" s="23">
        <f>23250.79</f>
      </c>
      <c r="D176" s="18"/>
      <c r="E176" s="20"/>
      <c r="F176" s="20"/>
      <c r="G176" s="20"/>
      <c r="H176" s="20"/>
      <c r="I176" s="19"/>
      <c r="J176" s="20"/>
      <c r="K176" s="20"/>
      <c r="L176" s="21"/>
      <c r="M176" s="22">
        <v>0</v>
      </c>
      <c r="N176" s="18"/>
    </row>
    <row x14ac:dyDescent="0.25" r="177" customHeight="1" ht="18.75">
      <c r="A177" s="4" t="s">
        <v>259</v>
      </c>
      <c r="B177" s="22">
        <v>95000</v>
      </c>
      <c r="C177" s="23">
        <f>16275.55+52715.4</f>
      </c>
      <c r="D177" s="23">
        <f>100000+66000+123979.93+89999.88</f>
      </c>
      <c r="E177" s="20"/>
      <c r="F177" s="20"/>
      <c r="G177" s="23">
        <v>175.08</v>
      </c>
      <c r="H177" s="22">
        <v>2000000</v>
      </c>
      <c r="I177" s="23">
        <v>1.5</v>
      </c>
      <c r="J177" s="22">
        <v>1000000</v>
      </c>
      <c r="K177" s="20"/>
      <c r="L177" s="21"/>
      <c r="M177" s="22">
        <v>0</v>
      </c>
      <c r="N177" s="23">
        <f>863296.88+1323378+88221</f>
      </c>
    </row>
    <row x14ac:dyDescent="0.25" r="178" customHeight="1" ht="18.75">
      <c r="A178" s="4" t="s">
        <v>260</v>
      </c>
      <c r="B178" s="22">
        <v>198600</v>
      </c>
      <c r="C178" s="19"/>
      <c r="D178" s="18"/>
      <c r="E178" s="22">
        <v>120</v>
      </c>
      <c r="F178" s="22">
        <v>320000</v>
      </c>
      <c r="G178" s="20"/>
      <c r="H178" s="20"/>
      <c r="I178" s="19"/>
      <c r="J178" s="20"/>
      <c r="K178" s="22">
        <f>240000</f>
      </c>
      <c r="L178" s="21"/>
      <c r="M178" s="22">
        <v>2</v>
      </c>
      <c r="N178" s="18"/>
    </row>
    <row x14ac:dyDescent="0.25" r="179" customHeight="1" ht="18.75">
      <c r="A179" s="4" t="s">
        <v>261</v>
      </c>
      <c r="B179" s="22">
        <v>40500</v>
      </c>
      <c r="C179" s="19"/>
      <c r="D179" s="23">
        <f>26341.78+34038.37</f>
      </c>
      <c r="E179" s="20"/>
      <c r="F179" s="20"/>
      <c r="G179" s="23">
        <v>86.4</v>
      </c>
      <c r="H179" s="22">
        <v>860000</v>
      </c>
      <c r="I179" s="19"/>
      <c r="J179" s="20"/>
      <c r="K179" s="22">
        <v>22000</v>
      </c>
      <c r="L179" s="21"/>
      <c r="M179" s="22">
        <v>1</v>
      </c>
      <c r="N179" s="23">
        <f>579534.81+50000</f>
      </c>
    </row>
    <row x14ac:dyDescent="0.25" r="180" customHeight="1" ht="18.75">
      <c r="A180" s="4" t="s">
        <v>262</v>
      </c>
      <c r="B180" s="22">
        <v>75000</v>
      </c>
      <c r="C180" s="23">
        <f>9298.76+8786.19</f>
      </c>
      <c r="D180" s="23">
        <f>96764.78+57889.49</f>
      </c>
      <c r="E180" s="22">
        <v>144</v>
      </c>
      <c r="F180" s="22">
        <v>870000</v>
      </c>
      <c r="G180" s="20"/>
      <c r="H180" s="20"/>
      <c r="I180" s="19"/>
      <c r="J180" s="20"/>
      <c r="K180" s="20"/>
      <c r="L180" s="21"/>
      <c r="M180" s="22">
        <v>1</v>
      </c>
      <c r="N180" s="18"/>
    </row>
    <row x14ac:dyDescent="0.25" r="181" customHeight="1" ht="18.75">
      <c r="A181" s="4" t="s">
        <v>263</v>
      </c>
      <c r="B181" s="22">
        <v>63000</v>
      </c>
      <c r="C181" s="23">
        <f>60445.89</f>
      </c>
      <c r="D181" s="18"/>
      <c r="E181" s="20"/>
      <c r="F181" s="20"/>
      <c r="G181" s="22">
        <v>35</v>
      </c>
      <c r="H181" s="22">
        <v>120000</v>
      </c>
      <c r="I181" s="19"/>
      <c r="J181" s="20"/>
      <c r="K181" s="20"/>
      <c r="L181" s="21"/>
      <c r="M181" s="22">
        <v>2</v>
      </c>
      <c r="N181" s="22">
        <v>21000</v>
      </c>
    </row>
    <row x14ac:dyDescent="0.25" r="182" customHeight="1" ht="18.75">
      <c r="A182" s="4" t="s">
        <v>264</v>
      </c>
      <c r="B182" s="22">
        <v>65000</v>
      </c>
      <c r="C182" s="19"/>
      <c r="D182" s="23">
        <f>16.58</f>
      </c>
      <c r="E182" s="20"/>
      <c r="F182" s="20"/>
      <c r="G182" s="22">
        <v>54</v>
      </c>
      <c r="H182" s="22">
        <v>160000</v>
      </c>
      <c r="I182" s="19"/>
      <c r="J182" s="20"/>
      <c r="K182" s="22">
        <f>60000</f>
      </c>
      <c r="L182" s="21"/>
      <c r="M182" s="22">
        <v>2</v>
      </c>
      <c r="N182" s="22">
        <f>60000+96000+38750+30200</f>
      </c>
    </row>
    <row x14ac:dyDescent="0.25" r="183" customHeight="1" ht="18.75">
      <c r="A183" s="4" t="s">
        <v>265</v>
      </c>
      <c r="B183" s="23">
        <f>15954+33390.19</f>
      </c>
      <c r="C183" s="19"/>
      <c r="D183" s="18"/>
      <c r="E183" s="22">
        <v>156</v>
      </c>
      <c r="F183" s="22">
        <v>200000</v>
      </c>
      <c r="G183" s="22">
        <v>48</v>
      </c>
      <c r="H183" s="22">
        <v>230000</v>
      </c>
      <c r="I183" s="23">
        <v>2.6821</v>
      </c>
      <c r="J183" s="22">
        <v>50000</v>
      </c>
      <c r="K183" s="22">
        <f>40000</f>
      </c>
      <c r="L183" s="21"/>
      <c r="M183" s="22">
        <v>3</v>
      </c>
      <c r="N183" s="22">
        <v>60000</v>
      </c>
    </row>
    <row x14ac:dyDescent="0.25" r="184" customHeight="1" ht="18.75">
      <c r="A184" s="4" t="s">
        <v>266</v>
      </c>
      <c r="B184" s="22">
        <v>225000</v>
      </c>
      <c r="C184" s="23">
        <f>3719.75</f>
      </c>
      <c r="D184" s="22">
        <v>15580</v>
      </c>
      <c r="E184" s="20"/>
      <c r="F184" s="20"/>
      <c r="G184" s="20"/>
      <c r="H184" s="20"/>
      <c r="I184" s="19"/>
      <c r="J184" s="20"/>
      <c r="K184" s="20"/>
      <c r="L184" s="21"/>
      <c r="M184" s="22">
        <v>1</v>
      </c>
      <c r="N184" s="18"/>
    </row>
    <row x14ac:dyDescent="0.25" r="185" customHeight="1" ht="18.75">
      <c r="A185" s="4" t="s">
        <v>267</v>
      </c>
      <c r="B185" s="23">
        <f>10000+90057.93</f>
      </c>
      <c r="C185" s="19"/>
      <c r="D185" s="18"/>
      <c r="E185" s="22">
        <v>185</v>
      </c>
      <c r="F185" s="22">
        <v>650000</v>
      </c>
      <c r="G185" s="20"/>
      <c r="H185" s="20"/>
      <c r="I185" s="19"/>
      <c r="J185" s="20"/>
      <c r="K185" s="22">
        <v>100000</v>
      </c>
      <c r="L185" s="21"/>
      <c r="M185" s="22">
        <v>2</v>
      </c>
      <c r="N185" s="23">
        <f>361244.77+38681.17+54000+22950</f>
      </c>
    </row>
    <row x14ac:dyDescent="0.25" r="186" customHeight="1" ht="18.75">
      <c r="A186" s="4" t="s">
        <v>268</v>
      </c>
      <c r="B186" s="22">
        <v>471000</v>
      </c>
      <c r="C186" s="23">
        <f>4649.68+96643.25</f>
      </c>
      <c r="D186" s="18"/>
      <c r="E186" s="20" t="s">
        <v>269</v>
      </c>
      <c r="F186" s="20" t="s">
        <v>270</v>
      </c>
      <c r="G186" s="22">
        <v>38</v>
      </c>
      <c r="H186" s="22">
        <v>280000</v>
      </c>
      <c r="I186" s="19"/>
      <c r="J186" s="20"/>
      <c r="K186" s="20"/>
      <c r="L186" s="21"/>
      <c r="M186" s="22">
        <v>0</v>
      </c>
      <c r="N186" s="23">
        <f>293226.89</f>
      </c>
    </row>
    <row x14ac:dyDescent="0.25" r="187" customHeight="1" ht="18.75">
      <c r="A187" s="4" t="s">
        <v>271</v>
      </c>
      <c r="B187" s="22">
        <v>38000</v>
      </c>
      <c r="C187" s="19"/>
      <c r="D187" s="18"/>
      <c r="E187" s="20"/>
      <c r="F187" s="20"/>
      <c r="G187" s="22">
        <v>78</v>
      </c>
      <c r="H187" s="22">
        <v>200000</v>
      </c>
      <c r="I187" s="19"/>
      <c r="J187" s="20"/>
      <c r="K187" s="22">
        <f>100000</f>
      </c>
      <c r="L187" s="21"/>
      <c r="M187" s="22">
        <v>0</v>
      </c>
      <c r="N187" s="18"/>
    </row>
    <row x14ac:dyDescent="0.25" r="188" customHeight="1" ht="18.75">
      <c r="A188" s="4" t="s">
        <v>272</v>
      </c>
      <c r="B188" s="22">
        <v>17000</v>
      </c>
      <c r="C188" s="19"/>
      <c r="D188" s="18"/>
      <c r="E188" s="22">
        <v>173</v>
      </c>
      <c r="F188" s="22">
        <v>600000</v>
      </c>
      <c r="G188" s="20"/>
      <c r="H188" s="20"/>
      <c r="I188" s="19"/>
      <c r="J188" s="20"/>
      <c r="K188" s="22">
        <f>70000+7500+200000</f>
      </c>
      <c r="L188" s="21"/>
      <c r="M188" s="22">
        <v>1</v>
      </c>
      <c r="N188" s="22">
        <v>22000</v>
      </c>
    </row>
    <row x14ac:dyDescent="0.25" r="189" customHeight="1" ht="18.75">
      <c r="A189" s="4" t="s">
        <v>273</v>
      </c>
      <c r="B189" s="23">
        <f>16469.25+4001.8</f>
      </c>
      <c r="C189" s="19"/>
      <c r="D189" s="18"/>
      <c r="E189" s="22">
        <v>201</v>
      </c>
      <c r="F189" s="22">
        <v>600000</v>
      </c>
      <c r="G189" s="20"/>
      <c r="H189" s="20"/>
      <c r="I189" s="23">
        <v>6.57</v>
      </c>
      <c r="J189" s="22">
        <v>120000</v>
      </c>
      <c r="K189" s="22">
        <f>60000</f>
      </c>
      <c r="L189" s="21"/>
      <c r="M189" s="22">
        <v>1</v>
      </c>
      <c r="N189" s="23">
        <f>91737.97+13889.55+18397.81+21866.08+14000</f>
      </c>
    </row>
    <row x14ac:dyDescent="0.25" r="190" customHeight="1" ht="18.75">
      <c r="A190" s="4" t="s">
        <v>274</v>
      </c>
      <c r="B190" s="22">
        <v>283000</v>
      </c>
      <c r="C190" s="19"/>
      <c r="D190" s="18"/>
      <c r="E190" s="20"/>
      <c r="F190" s="20"/>
      <c r="G190" s="20" t="s">
        <v>275</v>
      </c>
      <c r="H190" s="20" t="s">
        <v>276</v>
      </c>
      <c r="I190" s="19"/>
      <c r="J190" s="20"/>
      <c r="K190" s="22">
        <f>330000+20000</f>
      </c>
      <c r="L190" s="21"/>
      <c r="M190" s="22">
        <v>1</v>
      </c>
      <c r="N190" s="23">
        <f>87000+610210.12</f>
      </c>
    </row>
    <row x14ac:dyDescent="0.25" r="191" customHeight="1" ht="18.75">
      <c r="A191" s="4" t="s">
        <v>277</v>
      </c>
      <c r="B191" s="22">
        <f>15000+43500</f>
      </c>
      <c r="C191" s="19"/>
      <c r="D191" s="18"/>
      <c r="E191" s="20"/>
      <c r="F191" s="20"/>
      <c r="G191" s="23">
        <v>67.68</v>
      </c>
      <c r="H191" s="22">
        <v>350000</v>
      </c>
      <c r="I191" s="19"/>
      <c r="J191" s="20"/>
      <c r="K191" s="20"/>
      <c r="L191" s="21"/>
      <c r="M191" s="22">
        <v>1</v>
      </c>
      <c r="N191" s="23">
        <f>245200+212228.28</f>
      </c>
    </row>
    <row x14ac:dyDescent="0.25" r="192" customHeight="1" ht="18.75">
      <c r="A192" s="4" t="s">
        <v>278</v>
      </c>
      <c r="B192" s="22">
        <v>30000</v>
      </c>
      <c r="C192" s="23">
        <f>13944.63+2634.5</f>
      </c>
      <c r="D192" s="23">
        <v>14458.4</v>
      </c>
      <c r="E192" s="20"/>
      <c r="F192" s="20"/>
      <c r="G192" s="23">
        <v>45.81</v>
      </c>
      <c r="H192" s="22">
        <v>340000</v>
      </c>
      <c r="I192" s="19"/>
      <c r="J192" s="20"/>
      <c r="K192" s="20"/>
      <c r="L192" s="21"/>
      <c r="M192" s="22">
        <v>2</v>
      </c>
      <c r="N192" s="23">
        <f>195804.91+76386.45+17850+20000+29268.29+85970.73</f>
      </c>
    </row>
    <row x14ac:dyDescent="0.25" r="193" customHeight="1" ht="18.75">
      <c r="A193" s="4" t="s">
        <v>279</v>
      </c>
      <c r="B193" s="22">
        <v>297000</v>
      </c>
      <c r="C193" s="19"/>
      <c r="D193" s="18"/>
      <c r="E193" s="20"/>
      <c r="F193" s="20"/>
      <c r="G193" s="20"/>
      <c r="H193" s="20"/>
      <c r="I193" s="19"/>
      <c r="J193" s="20"/>
      <c r="K193" s="20"/>
      <c r="L193" s="21"/>
      <c r="M193" s="22">
        <v>0</v>
      </c>
      <c r="N193" s="18"/>
    </row>
    <row x14ac:dyDescent="0.25" r="194" customHeight="1" ht="18.75">
      <c r="A194" s="4" t="s">
        <v>280</v>
      </c>
      <c r="B194" s="22">
        <v>7893</v>
      </c>
      <c r="C194" s="19"/>
      <c r="D194" s="18"/>
      <c r="E194" s="20"/>
      <c r="F194" s="20"/>
      <c r="G194" s="20" t="s">
        <v>281</v>
      </c>
      <c r="H194" s="20" t="s">
        <v>282</v>
      </c>
      <c r="I194" s="19"/>
      <c r="J194" s="20"/>
      <c r="K194" s="22">
        <f>607000</f>
      </c>
      <c r="L194" s="21"/>
      <c r="M194" s="22">
        <v>3</v>
      </c>
      <c r="N194" s="22">
        <v>142000</v>
      </c>
    </row>
    <row x14ac:dyDescent="0.25" r="195" customHeight="1" ht="18.75">
      <c r="A195" s="4" t="s">
        <v>283</v>
      </c>
      <c r="B195" s="22">
        <v>250000</v>
      </c>
      <c r="C195" s="23">
        <f>5708.09+2324.3</f>
      </c>
      <c r="D195" s="18"/>
      <c r="E195" s="20" t="s">
        <v>284</v>
      </c>
      <c r="F195" s="20" t="s">
        <v>285</v>
      </c>
      <c r="G195" s="22">
        <v>33</v>
      </c>
      <c r="H195" s="22">
        <v>90000</v>
      </c>
      <c r="I195" s="22">
        <f>80000+6000+45000</f>
      </c>
      <c r="J195" s="20"/>
      <c r="K195" s="20"/>
      <c r="L195" s="21"/>
      <c r="M195" s="22">
        <v>1</v>
      </c>
      <c r="N195" s="18"/>
    </row>
    <row x14ac:dyDescent="0.25" r="196" customHeight="1" ht="18.75">
      <c r="A196" s="4" t="s">
        <v>286</v>
      </c>
      <c r="B196" s="22">
        <v>13000</v>
      </c>
      <c r="C196" s="23">
        <f>9297.19</f>
      </c>
      <c r="D196" s="18"/>
      <c r="E196" s="20"/>
      <c r="F196" s="20"/>
      <c r="G196" s="20"/>
      <c r="H196" s="20"/>
      <c r="I196" s="19"/>
      <c r="J196" s="20"/>
      <c r="K196" s="20"/>
      <c r="L196" s="21"/>
      <c r="M196" s="22">
        <v>1</v>
      </c>
      <c r="N196" s="23">
        <f>32182.16</f>
      </c>
    </row>
    <row x14ac:dyDescent="0.25" r="197" customHeight="1" ht="18.75">
      <c r="A197" s="4" t="s">
        <v>287</v>
      </c>
      <c r="B197" s="22">
        <v>16615</v>
      </c>
      <c r="C197" s="23">
        <f>8776.7</f>
      </c>
      <c r="D197" s="18"/>
      <c r="E197" s="20"/>
      <c r="F197" s="20"/>
      <c r="G197" s="20" t="s">
        <v>288</v>
      </c>
      <c r="H197" s="20" t="s">
        <v>289</v>
      </c>
      <c r="I197" s="19"/>
      <c r="J197" s="20"/>
      <c r="K197" s="20"/>
      <c r="L197" s="21"/>
      <c r="M197" s="22">
        <v>1</v>
      </c>
      <c r="N197" s="18"/>
    </row>
    <row x14ac:dyDescent="0.25" r="198" customHeight="1" ht="18.75">
      <c r="A198" s="4" t="s">
        <v>290</v>
      </c>
      <c r="B198" s="22">
        <v>91000</v>
      </c>
      <c r="C198" s="19"/>
      <c r="D198" s="18"/>
      <c r="E198" s="20"/>
      <c r="F198" s="20"/>
      <c r="G198" s="20"/>
      <c r="H198" s="20"/>
      <c r="I198" s="19"/>
      <c r="J198" s="20"/>
      <c r="K198" s="20"/>
      <c r="L198" s="21"/>
      <c r="M198" s="22">
        <v>0</v>
      </c>
      <c r="N198" s="18"/>
    </row>
    <row x14ac:dyDescent="0.25" r="199" customHeight="1" ht="18.75">
      <c r="A199" s="4" t="s">
        <v>291</v>
      </c>
      <c r="B199" s="22">
        <v>286000</v>
      </c>
      <c r="C199" s="19"/>
      <c r="D199" s="18"/>
      <c r="E199" s="20"/>
      <c r="F199" s="20"/>
      <c r="G199" s="20" t="s">
        <v>292</v>
      </c>
      <c r="H199" s="20" t="s">
        <v>293</v>
      </c>
      <c r="I199" s="19"/>
      <c r="J199" s="20"/>
      <c r="K199" s="20"/>
      <c r="L199" s="21"/>
      <c r="M199" s="22">
        <v>1</v>
      </c>
      <c r="N199" s="23">
        <f>162489.48+275.02+5763.15+38984.21+42000</f>
      </c>
    </row>
    <row x14ac:dyDescent="0.25" r="200" customHeight="1" ht="18.75">
      <c r="A200" s="4" t="s">
        <v>294</v>
      </c>
      <c r="B200" s="22">
        <f>210000</f>
      </c>
      <c r="C200" s="23">
        <v>2091.75</v>
      </c>
      <c r="D200" s="22">
        <v>26300</v>
      </c>
      <c r="E200" s="23">
        <v>148.8</v>
      </c>
      <c r="F200" s="22">
        <v>500000</v>
      </c>
      <c r="G200" s="20"/>
      <c r="H200" s="20"/>
      <c r="I200" s="19"/>
      <c r="J200" s="20"/>
      <c r="K200" s="22">
        <v>61000</v>
      </c>
      <c r="L200" s="21"/>
      <c r="M200" s="22">
        <v>1</v>
      </c>
      <c r="N200" s="22">
        <v>15000</v>
      </c>
    </row>
    <row x14ac:dyDescent="0.25" r="201" customHeight="1" ht="18.75">
      <c r="A201" s="4" t="s">
        <v>295</v>
      </c>
      <c r="B201" s="22">
        <v>30000</v>
      </c>
      <c r="C201" s="23">
        <f>1859.33+2376.82</f>
      </c>
      <c r="D201" s="18"/>
      <c r="E201" s="22">
        <v>130</v>
      </c>
      <c r="F201" s="22">
        <v>850000</v>
      </c>
      <c r="G201" s="20"/>
      <c r="H201" s="20"/>
      <c r="I201" s="19"/>
      <c r="J201" s="20"/>
      <c r="K201" s="22">
        <f>160000+25000+100000</f>
      </c>
      <c r="L201" s="21"/>
      <c r="M201" s="22">
        <v>1</v>
      </c>
      <c r="N201" s="18"/>
    </row>
    <row x14ac:dyDescent="0.25" r="202" customHeight="1" ht="18.75">
      <c r="A202" s="4" t="s">
        <v>296</v>
      </c>
      <c r="B202" s="23">
        <v>5829.6</v>
      </c>
      <c r="C202" s="19"/>
      <c r="D202" s="18"/>
      <c r="E202" s="22">
        <v>450</v>
      </c>
      <c r="F202" s="22">
        <v>1500000</v>
      </c>
      <c r="G202" s="22">
        <v>36</v>
      </c>
      <c r="H202" s="22">
        <v>350000</v>
      </c>
      <c r="I202" s="19"/>
      <c r="J202" s="20"/>
      <c r="K202" s="22">
        <v>15000</v>
      </c>
      <c r="L202" s="21"/>
      <c r="M202" s="22">
        <v>1</v>
      </c>
      <c r="N202" s="23">
        <f>229978.14+17850</f>
      </c>
    </row>
    <row x14ac:dyDescent="0.25" r="203" customHeight="1" ht="18.75">
      <c r="A203" s="24" t="s">
        <v>297</v>
      </c>
      <c r="B203" s="18"/>
      <c r="C203" s="19"/>
      <c r="D203" s="18"/>
      <c r="E203" s="20"/>
      <c r="F203" s="20"/>
      <c r="G203" s="23">
        <v>82.2</v>
      </c>
      <c r="H203" s="22">
        <v>400000</v>
      </c>
      <c r="I203" s="19"/>
      <c r="J203" s="20"/>
      <c r="K203" s="20"/>
      <c r="L203" s="21"/>
      <c r="M203" s="22">
        <v>1</v>
      </c>
      <c r="N203" s="23">
        <f>342018.35+125921.9+26112.73+17850</f>
      </c>
    </row>
    <row x14ac:dyDescent="0.25" r="204" customHeight="1" ht="18.75">
      <c r="A204" s="4" t="s">
        <v>298</v>
      </c>
      <c r="B204" s="22">
        <v>20000</v>
      </c>
      <c r="C204" s="19"/>
      <c r="D204" s="18"/>
      <c r="E204" s="20"/>
      <c r="F204" s="20"/>
      <c r="G204" s="23">
        <v>59.1</v>
      </c>
      <c r="H204" s="22">
        <v>420000</v>
      </c>
      <c r="I204" s="19"/>
      <c r="J204" s="20"/>
      <c r="K204" s="22">
        <f>30000+285000+79000</f>
      </c>
      <c r="L204" s="21"/>
      <c r="M204" s="22">
        <v>2</v>
      </c>
      <c r="N204" s="23">
        <f>31111+21200+226057.25</f>
      </c>
    </row>
    <row x14ac:dyDescent="0.25" r="205" customHeight="1" ht="18.75">
      <c r="A205" s="4" t="s">
        <v>299</v>
      </c>
      <c r="B205" s="22">
        <v>235000</v>
      </c>
      <c r="C205" s="23">
        <v>153731.38</v>
      </c>
      <c r="D205" s="18"/>
      <c r="E205" s="22">
        <v>200</v>
      </c>
      <c r="F205" s="22">
        <v>400000</v>
      </c>
      <c r="G205" s="20"/>
      <c r="H205" s="20"/>
      <c r="I205" s="23">
        <v>2.17</v>
      </c>
      <c r="J205" s="22">
        <v>110000</v>
      </c>
      <c r="K205" s="22">
        <v>20000</v>
      </c>
      <c r="L205" s="21"/>
      <c r="M205" s="22">
        <v>1</v>
      </c>
      <c r="N205" s="18"/>
    </row>
    <row x14ac:dyDescent="0.25" r="206" customHeight="1" ht="18.75">
      <c r="A206" s="4" t="s">
        <v>300</v>
      </c>
      <c r="B206" s="22">
        <v>11000</v>
      </c>
      <c r="C206" s="19"/>
      <c r="D206" s="22">
        <v>41955</v>
      </c>
      <c r="E206" s="22">
        <v>120</v>
      </c>
      <c r="F206" s="22">
        <v>400000</v>
      </c>
      <c r="G206" s="20"/>
      <c r="H206" s="20"/>
      <c r="I206" s="23">
        <v>2.96</v>
      </c>
      <c r="J206" s="22">
        <v>300000</v>
      </c>
      <c r="K206" s="22">
        <v>80000</v>
      </c>
      <c r="L206" s="21"/>
      <c r="M206" s="22">
        <v>1</v>
      </c>
      <c r="N206" s="23">
        <f>21335.6+46894.2</f>
      </c>
    </row>
    <row x14ac:dyDescent="0.25" r="207" customHeight="1" ht="18.75">
      <c r="A207" s="4" t="s">
        <v>301</v>
      </c>
      <c r="B207" s="22">
        <v>10000</v>
      </c>
      <c r="C207" s="19"/>
      <c r="D207" s="18"/>
      <c r="E207" s="22">
        <v>120</v>
      </c>
      <c r="F207" s="22">
        <v>250000</v>
      </c>
      <c r="G207" s="20"/>
      <c r="H207" s="20"/>
      <c r="I207" s="23">
        <v>0.8</v>
      </c>
      <c r="J207" s="22">
        <v>30000</v>
      </c>
      <c r="K207" s="22">
        <v>20000</v>
      </c>
      <c r="L207" s="21"/>
      <c r="M207" s="22">
        <v>0</v>
      </c>
      <c r="N207" s="23">
        <f>39245.55+ 47847+83399.61+42000+43300</f>
      </c>
    </row>
    <row x14ac:dyDescent="0.25" r="208" customHeight="1" ht="18.75">
      <c r="A208" s="4" t="s">
        <v>302</v>
      </c>
      <c r="B208" s="22">
        <v>57000</v>
      </c>
      <c r="C208" s="19"/>
      <c r="D208" s="18"/>
      <c r="E208" s="23">
        <v>159.12</v>
      </c>
      <c r="F208" s="22">
        <v>700000</v>
      </c>
      <c r="G208" s="20"/>
      <c r="H208" s="20"/>
      <c r="I208" s="19"/>
      <c r="J208" s="20"/>
      <c r="K208" s="22">
        <v>120000</v>
      </c>
      <c r="L208" s="21"/>
      <c r="M208" s="22">
        <v>1</v>
      </c>
      <c r="N208" s="23">
        <f>276761.44+101945.23+60000</f>
      </c>
    </row>
    <row x14ac:dyDescent="0.25" r="209" customHeight="1" ht="18.75">
      <c r="A209" s="4" t="s">
        <v>303</v>
      </c>
      <c r="B209" s="23">
        <v>39306.06</v>
      </c>
      <c r="C209" s="23">
        <v>546.11</v>
      </c>
      <c r="D209" s="23">
        <v>3556173.18</v>
      </c>
      <c r="E209" s="20"/>
      <c r="F209" s="20"/>
      <c r="G209" s="20"/>
      <c r="H209" s="20"/>
      <c r="I209" s="19"/>
      <c r="J209" s="20"/>
      <c r="K209" s="20"/>
      <c r="L209" s="22">
        <f>2850100*0.1</f>
      </c>
      <c r="M209" s="22">
        <v>1</v>
      </c>
      <c r="N209" s="22">
        <v>50000</v>
      </c>
    </row>
    <row x14ac:dyDescent="0.25" r="210" customHeight="1" ht="18.75">
      <c r="A210" s="4" t="s">
        <v>304</v>
      </c>
      <c r="B210" s="22">
        <v>19000</v>
      </c>
      <c r="C210" s="23">
        <f>3708.06+657.25</f>
      </c>
      <c r="D210" s="23">
        <f>206829.9+6582.81</f>
      </c>
      <c r="E210" s="20"/>
      <c r="F210" s="20"/>
      <c r="G210" s="20"/>
      <c r="H210" s="20"/>
      <c r="I210" s="19"/>
      <c r="J210" s="20"/>
      <c r="K210" s="20"/>
      <c r="L210" s="21"/>
      <c r="M210" s="22">
        <v>1</v>
      </c>
      <c r="N210" s="18"/>
    </row>
    <row x14ac:dyDescent="0.25" r="211" customHeight="1" ht="18.75">
      <c r="A211" s="4" t="s">
        <v>305</v>
      </c>
      <c r="B211" s="23">
        <v>113958.25</v>
      </c>
      <c r="C211" s="19"/>
      <c r="D211" s="23">
        <v>9294.4</v>
      </c>
      <c r="E211" s="20"/>
      <c r="F211" s="20"/>
      <c r="G211" s="22">
        <v>64</v>
      </c>
      <c r="H211" s="22">
        <v>240000</v>
      </c>
      <c r="I211" s="23">
        <v>0.92</v>
      </c>
      <c r="J211" s="22">
        <v>25000</v>
      </c>
      <c r="K211" s="20"/>
      <c r="L211" s="21"/>
      <c r="M211" s="22">
        <v>2</v>
      </c>
      <c r="N211" s="18"/>
    </row>
    <row x14ac:dyDescent="0.25" r="212" customHeight="1" ht="18.75">
      <c r="A212" s="4" t="s">
        <v>306</v>
      </c>
      <c r="B212" s="23">
        <v>67012.4</v>
      </c>
      <c r="C212" s="19"/>
      <c r="D212" s="18"/>
      <c r="E212" s="22">
        <v>248</v>
      </c>
      <c r="F212" s="22">
        <v>780000</v>
      </c>
      <c r="G212" s="20"/>
      <c r="H212" s="20"/>
      <c r="I212" s="19"/>
      <c r="J212" s="20"/>
      <c r="K212" s="20"/>
      <c r="L212" s="21"/>
      <c r="M212" s="22">
        <v>3</v>
      </c>
      <c r="N212" s="23">
        <f>210425.24+23000</f>
      </c>
    </row>
    <row x14ac:dyDescent="0.25" r="213" customHeight="1" ht="18.75">
      <c r="A213" s="4" t="s">
        <v>307</v>
      </c>
      <c r="B213" s="22">
        <f>45000+13000+24000</f>
      </c>
      <c r="C213" s="23">
        <f>2315.24 + 875.55</f>
      </c>
      <c r="D213" s="18"/>
      <c r="E213" s="20"/>
      <c r="F213" s="20"/>
      <c r="G213" s="20" t="s">
        <v>308</v>
      </c>
      <c r="H213" s="20" t="s">
        <v>309</v>
      </c>
      <c r="I213" s="19"/>
      <c r="J213" s="20"/>
      <c r="K213" s="22">
        <f>25000+25000+20000+100000+40000</f>
      </c>
      <c r="L213" s="21"/>
      <c r="M213" s="22">
        <v>1</v>
      </c>
      <c r="N213" s="22">
        <f>15000+153000</f>
      </c>
    </row>
    <row x14ac:dyDescent="0.25" r="214" customHeight="1" ht="18.75">
      <c r="A214" s="4" t="s">
        <v>310</v>
      </c>
      <c r="B214" s="23">
        <v>12689.17</v>
      </c>
      <c r="C214" s="19"/>
      <c r="D214" s="18"/>
      <c r="E214" s="22">
        <v>188</v>
      </c>
      <c r="F214" s="22">
        <v>400000</v>
      </c>
      <c r="G214" s="20"/>
      <c r="H214" s="20"/>
      <c r="I214" s="19"/>
      <c r="J214" s="20"/>
      <c r="K214" s="20"/>
      <c r="L214" s="21"/>
      <c r="M214" s="22">
        <v>0</v>
      </c>
      <c r="N214" s="23">
        <v>445220.56</v>
      </c>
    </row>
    <row x14ac:dyDescent="0.25" r="215" customHeight="1" ht="18.75">
      <c r="A215" s="24" t="s">
        <v>311</v>
      </c>
      <c r="B215" s="18"/>
      <c r="C215" s="19"/>
      <c r="D215" s="18"/>
      <c r="E215" s="20"/>
      <c r="F215" s="20"/>
      <c r="G215" s="20"/>
      <c r="H215" s="20"/>
      <c r="I215" s="19"/>
      <c r="J215" s="20"/>
      <c r="K215" s="20"/>
      <c r="L215" s="21"/>
      <c r="M215" s="21"/>
      <c r="N215" s="18"/>
    </row>
    <row x14ac:dyDescent="0.25" r="216" customHeight="1" ht="18.75">
      <c r="A216" s="4" t="s">
        <v>312</v>
      </c>
      <c r="B216" s="23">
        <v>30972.41</v>
      </c>
      <c r="C216" s="23">
        <v>3700.65</v>
      </c>
      <c r="D216" s="18"/>
      <c r="E216" s="22">
        <v>170</v>
      </c>
      <c r="F216" s="22">
        <v>700000</v>
      </c>
      <c r="G216" s="20"/>
      <c r="H216" s="20"/>
      <c r="I216" s="19"/>
      <c r="J216" s="20"/>
      <c r="K216" s="22">
        <f>120000+1500+1200</f>
      </c>
      <c r="L216" s="21"/>
      <c r="M216" s="22">
        <v>1</v>
      </c>
      <c r="N216" s="23">
        <f>312545.12+25500</f>
      </c>
    </row>
    <row x14ac:dyDescent="0.25" r="217" customHeight="1" ht="18.75">
      <c r="A217" s="4" t="s">
        <v>313</v>
      </c>
      <c r="B217" s="22">
        <v>30000</v>
      </c>
      <c r="C217" s="19"/>
      <c r="D217" s="18"/>
      <c r="E217" s="20"/>
      <c r="F217" s="20"/>
      <c r="G217" s="22">
        <v>85</v>
      </c>
      <c r="H217" s="22">
        <v>400000</v>
      </c>
      <c r="I217" s="19"/>
      <c r="J217" s="20"/>
      <c r="K217" s="20"/>
      <c r="L217" s="21"/>
      <c r="M217" s="22">
        <v>1</v>
      </c>
      <c r="N217" s="23">
        <f>561447.5+125000+40000+35000</f>
      </c>
    </row>
    <row x14ac:dyDescent="0.25" r="218" customHeight="1" ht="18.75">
      <c r="A218" s="4" t="s">
        <v>314</v>
      </c>
      <c r="B218" s="22">
        <v>21450</v>
      </c>
      <c r="C218" s="23">
        <v>5832.81</v>
      </c>
      <c r="D218" s="18"/>
      <c r="E218" s="22">
        <v>154</v>
      </c>
      <c r="F218" s="22">
        <v>1400000</v>
      </c>
      <c r="G218" s="22">
        <v>125</v>
      </c>
      <c r="H218" s="22">
        <v>950000</v>
      </c>
      <c r="I218" s="19"/>
      <c r="J218" s="20"/>
      <c r="K218" s="22">
        <v>2000000</v>
      </c>
      <c r="L218" s="21"/>
      <c r="M218" s="22">
        <v>1</v>
      </c>
      <c r="N218" s="23">
        <f>161778+18135.97</f>
      </c>
    </row>
    <row x14ac:dyDescent="0.25" r="219" customHeight="1" ht="18.75">
      <c r="A219" s="4" t="s">
        <v>315</v>
      </c>
      <c r="B219" s="22">
        <f>110169.69+12530.31</f>
      </c>
      <c r="C219" s="19"/>
      <c r="D219" s="23">
        <v>80088.5</v>
      </c>
      <c r="E219" s="20"/>
      <c r="F219" s="20"/>
      <c r="G219" s="20"/>
      <c r="H219" s="20"/>
      <c r="I219" s="23">
        <v>2.26</v>
      </c>
      <c r="J219" s="22">
        <v>56500</v>
      </c>
      <c r="K219" s="20"/>
      <c r="L219" s="21"/>
      <c r="M219" s="22">
        <v>3</v>
      </c>
      <c r="N219" s="23">
        <v>19107.6</v>
      </c>
    </row>
    <row x14ac:dyDescent="0.25" r="220" customHeight="1" ht="18.75">
      <c r="A220" s="24" t="s">
        <v>316</v>
      </c>
      <c r="B220" s="18"/>
      <c r="C220" s="19"/>
      <c r="D220" s="18"/>
      <c r="E220" s="20"/>
      <c r="F220" s="20"/>
      <c r="G220" s="20"/>
      <c r="H220" s="20"/>
      <c r="I220" s="19"/>
      <c r="J220" s="20"/>
      <c r="K220" s="20"/>
      <c r="L220" s="21"/>
      <c r="M220" s="21"/>
      <c r="N220" s="18"/>
    </row>
    <row x14ac:dyDescent="0.25" r="221" customHeight="1" ht="18.75">
      <c r="A221" s="4" t="s">
        <v>317</v>
      </c>
      <c r="B221" s="22">
        <v>5500</v>
      </c>
      <c r="C221" s="19"/>
      <c r="D221" s="22">
        <f>11959+10290+266</f>
      </c>
      <c r="E221" s="20"/>
      <c r="F221" s="20"/>
      <c r="G221" s="20" t="s">
        <v>318</v>
      </c>
      <c r="H221" s="20" t="s">
        <v>319</v>
      </c>
      <c r="I221" s="19"/>
      <c r="J221" s="20"/>
      <c r="K221" s="22">
        <v>35000</v>
      </c>
      <c r="L221" s="22">
        <v>200</v>
      </c>
      <c r="M221" s="22">
        <v>1</v>
      </c>
      <c r="N221" s="22">
        <v>389930</v>
      </c>
    </row>
    <row x14ac:dyDescent="0.25" r="222" customHeight="1" ht="18.75">
      <c r="A222" s="4" t="s">
        <v>320</v>
      </c>
      <c r="B222" s="22">
        <v>20000</v>
      </c>
      <c r="C222" s="19"/>
      <c r="D222" s="18"/>
      <c r="E222" s="22">
        <v>175</v>
      </c>
      <c r="F222" s="22">
        <v>500000</v>
      </c>
      <c r="G222" s="20"/>
      <c r="H222" s="20"/>
      <c r="I222" s="19"/>
      <c r="J222" s="20"/>
      <c r="K222" s="20"/>
      <c r="L222" s="21"/>
      <c r="M222" s="22">
        <v>1</v>
      </c>
      <c r="N222" s="23">
        <f>144808.61+17000+19000</f>
      </c>
    </row>
    <row x14ac:dyDescent="0.25" r="223" customHeight="1" ht="18.75">
      <c r="A223" s="4" t="s">
        <v>321</v>
      </c>
      <c r="B223" s="22">
        <v>50000</v>
      </c>
      <c r="C223" s="23">
        <f>23116.47 + 788.71</f>
      </c>
      <c r="D223" s="22">
        <v>220</v>
      </c>
      <c r="E223" s="20"/>
      <c r="F223" s="20"/>
      <c r="G223" s="23">
        <v>78.88</v>
      </c>
      <c r="H223" s="22">
        <v>350000</v>
      </c>
      <c r="I223" s="19"/>
      <c r="J223" s="20"/>
      <c r="K223" s="22">
        <f>45000+400000+650000</f>
      </c>
      <c r="L223" s="21"/>
      <c r="M223" s="22">
        <v>2</v>
      </c>
      <c r="N223" s="22">
        <f>199239+20000+200510+205993+490000</f>
      </c>
    </row>
    <row x14ac:dyDescent="0.25" r="224" customHeight="1" ht="18.75">
      <c r="A224" s="4" t="s">
        <v>322</v>
      </c>
      <c r="B224" s="22">
        <v>287000</v>
      </c>
      <c r="C224" s="19"/>
      <c r="D224" s="22">
        <f>309490+302652+1962413+17320</f>
      </c>
      <c r="E224" s="22">
        <v>180</v>
      </c>
      <c r="F224" s="22">
        <v>830000</v>
      </c>
      <c r="G224" s="22">
        <v>32</v>
      </c>
      <c r="H224" s="22">
        <v>190000</v>
      </c>
      <c r="I224" s="19"/>
      <c r="J224" s="20"/>
      <c r="K224" s="20"/>
      <c r="L224" s="22">
        <f>61831*6</f>
      </c>
      <c r="M224" s="22">
        <v>1</v>
      </c>
      <c r="N224" s="23">
        <v>630165.11</v>
      </c>
    </row>
    <row x14ac:dyDescent="0.25" r="225" customHeight="1" ht="18.75">
      <c r="A225" s="4" t="s">
        <v>323</v>
      </c>
      <c r="B225" s="23">
        <f>16387.48</f>
      </c>
      <c r="C225" s="19"/>
      <c r="D225" s="23">
        <v>20026.27</v>
      </c>
      <c r="E225" s="22">
        <v>100</v>
      </c>
      <c r="F225" s="22">
        <v>100000</v>
      </c>
      <c r="G225" s="20"/>
      <c r="H225" s="20"/>
      <c r="I225" s="19"/>
      <c r="J225" s="20"/>
      <c r="K225" s="22">
        <v>18000</v>
      </c>
      <c r="L225" s="21"/>
      <c r="M225" s="22">
        <v>2</v>
      </c>
      <c r="N225" s="23">
        <v>19281.96</v>
      </c>
    </row>
    <row x14ac:dyDescent="0.25" r="226" customHeight="1" ht="18.75">
      <c r="A226" s="4" t="s">
        <v>324</v>
      </c>
      <c r="B226" s="23">
        <v>350059.13</v>
      </c>
      <c r="C226" s="22">
        <v>2189095</v>
      </c>
      <c r="D226" s="23">
        <v>4860098.84</v>
      </c>
      <c r="E226" s="22">
        <v>350</v>
      </c>
      <c r="F226" s="22">
        <v>2500000</v>
      </c>
      <c r="G226" s="20"/>
      <c r="H226" s="20"/>
      <c r="I226" s="23">
        <v>1.47</v>
      </c>
      <c r="J226" s="22">
        <v>60000</v>
      </c>
      <c r="K226" s="22">
        <v>34000000</v>
      </c>
      <c r="L226" s="22">
        <v>1000</v>
      </c>
      <c r="M226" s="22">
        <v>4</v>
      </c>
      <c r="N226" s="23">
        <f>6000000+131846.91+103900+240225+2490000+2312501.86</f>
      </c>
    </row>
    <row x14ac:dyDescent="0.25" r="227" customHeight="1" ht="18.75">
      <c r="A227" s="4" t="s">
        <v>325</v>
      </c>
      <c r="B227" s="22">
        <v>110800</v>
      </c>
      <c r="C227" s="19"/>
      <c r="D227" s="18"/>
      <c r="E227" s="22">
        <v>220</v>
      </c>
      <c r="F227" s="22">
        <v>450000</v>
      </c>
      <c r="G227" s="22">
        <v>34</v>
      </c>
      <c r="H227" s="22">
        <v>218000</v>
      </c>
      <c r="I227" s="23">
        <v>2.2</v>
      </c>
      <c r="J227" s="22">
        <v>600000</v>
      </c>
      <c r="K227" s="20"/>
      <c r="L227" s="21"/>
      <c r="M227" s="22">
        <v>2</v>
      </c>
      <c r="N227" s="18"/>
    </row>
    <row x14ac:dyDescent="0.25" r="228" customHeight="1" ht="18.75">
      <c r="A228" s="4" t="s">
        <v>326</v>
      </c>
      <c r="B228" s="18"/>
      <c r="C228" s="19"/>
      <c r="D228" s="18"/>
      <c r="E228" s="23">
        <v>121.06</v>
      </c>
      <c r="F228" s="22">
        <v>650000</v>
      </c>
      <c r="G228" s="20"/>
      <c r="H228" s="20"/>
      <c r="I228" s="19"/>
      <c r="J228" s="20"/>
      <c r="K228" s="20"/>
      <c r="L228" s="21"/>
      <c r="M228" s="22">
        <v>1</v>
      </c>
      <c r="N228" s="18"/>
    </row>
    <row x14ac:dyDescent="0.25" r="229" customHeight="1" ht="18.75">
      <c r="A229" s="4" t="s">
        <v>327</v>
      </c>
      <c r="B229" s="23">
        <f>2668.45+58644.91</f>
      </c>
      <c r="C229" s="19"/>
      <c r="D229" s="18"/>
      <c r="E229" s="20"/>
      <c r="F229" s="20"/>
      <c r="G229" s="23">
        <v>55.08</v>
      </c>
      <c r="H229" s="22">
        <v>300000</v>
      </c>
      <c r="I229" s="19"/>
      <c r="J229" s="20"/>
      <c r="K229" s="22">
        <v>27000</v>
      </c>
      <c r="L229" s="21"/>
      <c r="M229" s="22">
        <v>1</v>
      </c>
      <c r="N229" s="18"/>
    </row>
    <row x14ac:dyDescent="0.25" r="230" customHeight="1" ht="18.75">
      <c r="A230" s="4" t="s">
        <v>328</v>
      </c>
      <c r="B230" s="22">
        <v>8000</v>
      </c>
      <c r="C230" s="19"/>
      <c r="D230" s="18"/>
      <c r="E230" s="20"/>
      <c r="F230" s="20"/>
      <c r="G230" s="20" t="s">
        <v>329</v>
      </c>
      <c r="H230" s="20" t="s">
        <v>330</v>
      </c>
      <c r="I230" s="19"/>
      <c r="J230" s="20"/>
      <c r="K230" s="22">
        <v>4000</v>
      </c>
      <c r="L230" s="21"/>
      <c r="M230" s="22">
        <v>1</v>
      </c>
      <c r="N230" s="22">
        <f>16000+12350+17087</f>
      </c>
    </row>
    <row x14ac:dyDescent="0.25" r="231" customHeight="1" ht="18.75">
      <c r="A231" s="4" t="s">
        <v>331</v>
      </c>
      <c r="B231" s="23">
        <v>24638.87</v>
      </c>
      <c r="C231" s="23">
        <v>1317.89</v>
      </c>
      <c r="D231" s="23">
        <f>41194.88+19541.49</f>
      </c>
      <c r="E231" s="20"/>
      <c r="F231" s="20"/>
      <c r="G231" s="20"/>
      <c r="H231" s="20"/>
      <c r="I231" s="19"/>
      <c r="J231" s="20"/>
      <c r="K231" s="20"/>
      <c r="L231" s="21"/>
      <c r="M231" s="22">
        <v>1</v>
      </c>
      <c r="N231" s="18"/>
    </row>
    <row x14ac:dyDescent="0.25" r="232" customHeight="1" ht="18.75">
      <c r="A232" s="4" t="s">
        <v>332</v>
      </c>
      <c r="B232" s="22">
        <v>14000</v>
      </c>
      <c r="C232" s="23">
        <f>878.75+569.72+273.06</f>
      </c>
      <c r="D232" s="22">
        <v>50000</v>
      </c>
      <c r="E232" s="22">
        <v>150</v>
      </c>
      <c r="F232" s="22">
        <v>1000000</v>
      </c>
      <c r="G232" s="20" t="s">
        <v>333</v>
      </c>
      <c r="H232" s="20" t="s">
        <v>334</v>
      </c>
      <c r="I232" s="19"/>
      <c r="J232" s="20"/>
      <c r="K232" s="22">
        <f>100000+120000</f>
      </c>
      <c r="L232" s="21"/>
      <c r="M232" s="22">
        <v>4</v>
      </c>
      <c r="N232" s="22">
        <f>160000+30000</f>
      </c>
    </row>
    <row x14ac:dyDescent="0.25" r="233" customHeight="1" ht="18.75">
      <c r="A233" s="4" t="s">
        <v>335</v>
      </c>
      <c r="B233" s="23">
        <v>47649.44</v>
      </c>
      <c r="C233" s="19"/>
      <c r="D233" s="18"/>
      <c r="E233" s="22">
        <v>160</v>
      </c>
      <c r="F233" s="22">
        <v>500000</v>
      </c>
      <c r="G233" s="22">
        <v>38</v>
      </c>
      <c r="H233" s="22">
        <v>300000</v>
      </c>
      <c r="I233" s="19"/>
      <c r="J233" s="20"/>
      <c r="K233" s="22">
        <v>100000</v>
      </c>
      <c r="L233" s="21"/>
      <c r="M233" s="22">
        <v>1</v>
      </c>
      <c r="N233" s="22">
        <v>600</v>
      </c>
    </row>
    <row x14ac:dyDescent="0.25" r="234" customHeight="1" ht="18.75">
      <c r="A234" s="4" t="s">
        <v>336</v>
      </c>
      <c r="B234" s="22">
        <v>170000</v>
      </c>
      <c r="C234" s="19"/>
      <c r="D234" s="22">
        <v>15000</v>
      </c>
      <c r="E234" s="22">
        <v>120</v>
      </c>
      <c r="F234" s="22">
        <v>250000</v>
      </c>
      <c r="G234" s="23">
        <v>67.38</v>
      </c>
      <c r="H234" s="22">
        <v>160000</v>
      </c>
      <c r="I234" s="19"/>
      <c r="J234" s="20"/>
      <c r="K234" s="22">
        <f>30000+15000</f>
      </c>
      <c r="L234" s="21"/>
      <c r="M234" s="22">
        <v>1</v>
      </c>
      <c r="N234" s="18"/>
    </row>
    <row x14ac:dyDescent="0.25" r="235" customHeight="1" ht="18.75">
      <c r="A235" s="4" t="s">
        <v>337</v>
      </c>
      <c r="B235" s="22">
        <v>240000</v>
      </c>
      <c r="C235" s="23">
        <f>462.55+2191.17</f>
      </c>
      <c r="D235" s="18"/>
      <c r="E235" s="22">
        <v>400</v>
      </c>
      <c r="F235" s="22">
        <v>950000</v>
      </c>
      <c r="G235" s="20"/>
      <c r="H235" s="20"/>
      <c r="I235" s="23">
        <v>23.7</v>
      </c>
      <c r="J235" s="22">
        <v>2200000</v>
      </c>
      <c r="K235" s="20"/>
      <c r="L235" s="21"/>
      <c r="M235" s="22">
        <v>5</v>
      </c>
      <c r="N235" s="22">
        <v>150000</v>
      </c>
    </row>
    <row x14ac:dyDescent="0.25" r="236" customHeight="1" ht="18.75">
      <c r="A236" s="4" t="s">
        <v>338</v>
      </c>
      <c r="B236" s="22">
        <v>60000</v>
      </c>
      <c r="C236" s="19"/>
      <c r="D236" s="18"/>
      <c r="E236" s="22">
        <v>144</v>
      </c>
      <c r="F236" s="22">
        <v>470000</v>
      </c>
      <c r="G236" s="20"/>
      <c r="H236" s="20"/>
      <c r="I236" s="19"/>
      <c r="J236" s="20"/>
      <c r="K236" s="22">
        <v>30000</v>
      </c>
      <c r="L236" s="21"/>
      <c r="M236" s="22">
        <v>2</v>
      </c>
      <c r="N236" s="23">
        <f>26533.2+17850+72696.82+10925.29+73325.95</f>
      </c>
    </row>
    <row x14ac:dyDescent="0.25" r="237" customHeight="1" ht="18.75">
      <c r="A237" s="4" t="s">
        <v>339</v>
      </c>
      <c r="B237" s="22">
        <v>290000</v>
      </c>
      <c r="C237" s="19"/>
      <c r="D237" s="18"/>
      <c r="E237" s="22">
        <v>112</v>
      </c>
      <c r="F237" s="20"/>
      <c r="G237" s="20" t="s">
        <v>340</v>
      </c>
      <c r="H237" s="20" t="s">
        <v>341</v>
      </c>
      <c r="I237" s="23">
        <v>1.93</v>
      </c>
      <c r="J237" s="22">
        <v>100000</v>
      </c>
      <c r="K237" s="22">
        <f>20000+120000</f>
      </c>
      <c r="L237" s="21"/>
      <c r="M237" s="22">
        <v>1</v>
      </c>
      <c r="N237" s="18"/>
    </row>
    <row x14ac:dyDescent="0.25" r="238" customHeight="1" ht="18.75">
      <c r="A238" s="4" t="s">
        <v>342</v>
      </c>
      <c r="B238" s="22">
        <v>38000</v>
      </c>
      <c r="C238" s="19"/>
      <c r="D238" s="22">
        <v>25</v>
      </c>
      <c r="E238" s="20"/>
      <c r="F238" s="20"/>
      <c r="G238" s="23">
        <v>70.31</v>
      </c>
      <c r="H238" s="23">
        <v>299478.47</v>
      </c>
      <c r="I238" s="19"/>
      <c r="J238" s="20"/>
      <c r="K238" s="22">
        <v>48000</v>
      </c>
      <c r="L238" s="21"/>
      <c r="M238" s="22">
        <v>2</v>
      </c>
      <c r="N238" s="23">
        <f>244138.04+32123.47</f>
      </c>
    </row>
    <row x14ac:dyDescent="0.25" r="239" customHeight="1" ht="18.75">
      <c r="A239" s="4" t="s">
        <v>343</v>
      </c>
      <c r="B239" s="22">
        <v>235000</v>
      </c>
      <c r="C239" s="19"/>
      <c r="D239" s="18"/>
      <c r="E239" s="20" t="s">
        <v>344</v>
      </c>
      <c r="F239" s="22">
        <v>2800000</v>
      </c>
      <c r="G239" s="20"/>
      <c r="H239" s="20"/>
      <c r="I239" s="19"/>
      <c r="J239" s="20"/>
      <c r="K239" s="22">
        <v>490000</v>
      </c>
      <c r="L239" s="21"/>
      <c r="M239" s="22">
        <v>0</v>
      </c>
      <c r="N239" s="18"/>
    </row>
    <row x14ac:dyDescent="0.25" r="240" customHeight="1" ht="18.75">
      <c r="A240" s="4" t="s">
        <v>345</v>
      </c>
      <c r="B240" s="23">
        <v>75647.32</v>
      </c>
      <c r="C240" s="23">
        <v>4936.24</v>
      </c>
      <c r="D240" s="22">
        <v>200</v>
      </c>
      <c r="E240" s="22">
        <v>200</v>
      </c>
      <c r="F240" s="22">
        <v>500000</v>
      </c>
      <c r="G240" s="23">
        <v>24.27</v>
      </c>
      <c r="H240" s="22">
        <v>200000</v>
      </c>
      <c r="I240" s="23">
        <f>12.43+0.33</f>
      </c>
      <c r="J240" s="22">
        <v>150000</v>
      </c>
      <c r="K240" s="22">
        <v>780000</v>
      </c>
      <c r="L240" s="21"/>
      <c r="M240" s="22">
        <v>0</v>
      </c>
      <c r="N240" s="18"/>
    </row>
    <row x14ac:dyDescent="0.25" r="241" customHeight="1" ht="18.75">
      <c r="A241" s="4" t="s">
        <v>346</v>
      </c>
      <c r="B241" s="22">
        <f>170000+48200+39800+42500+21325+6000</f>
      </c>
      <c r="C241" s="23">
        <v>2313.78</v>
      </c>
      <c r="D241" s="22">
        <f>80200+5000+3400</f>
      </c>
      <c r="E241" s="22">
        <v>200</v>
      </c>
      <c r="F241" s="22">
        <v>250000</v>
      </c>
      <c r="G241" s="20" t="s">
        <v>347</v>
      </c>
      <c r="H241" s="20" t="s">
        <v>348</v>
      </c>
      <c r="I241" s="19"/>
      <c r="J241" s="20"/>
      <c r="K241" s="22">
        <f>190000+58724</f>
      </c>
      <c r="L241" s="21"/>
      <c r="M241" s="22">
        <v>1</v>
      </c>
      <c r="N241" s="22">
        <f>25800+12000</f>
      </c>
    </row>
    <row x14ac:dyDescent="0.25" r="242" customHeight="1" ht="18.75">
      <c r="A242" s="4" t="s">
        <v>349</v>
      </c>
      <c r="B242" s="23">
        <v>49406.1</v>
      </c>
      <c r="C242" s="19"/>
      <c r="D242" s="18"/>
      <c r="E242" s="22">
        <v>168</v>
      </c>
      <c r="F242" s="22">
        <v>310000</v>
      </c>
      <c r="G242" s="20"/>
      <c r="H242" s="20"/>
      <c r="I242" s="23">
        <v>5.4358</v>
      </c>
      <c r="J242" s="22">
        <v>60000</v>
      </c>
      <c r="K242" s="22">
        <v>70000</v>
      </c>
      <c r="L242" s="21"/>
      <c r="M242" s="22">
        <v>0</v>
      </c>
      <c r="N242" s="18"/>
    </row>
    <row x14ac:dyDescent="0.25" r="243" customHeight="1" ht="18.75">
      <c r="A243" s="4" t="s">
        <v>350</v>
      </c>
      <c r="B243" s="22">
        <v>101300</v>
      </c>
      <c r="C243" s="23">
        <v>5553.07</v>
      </c>
      <c r="D243" s="22">
        <v>330</v>
      </c>
      <c r="E243" s="20"/>
      <c r="F243" s="20"/>
      <c r="G243" s="20" t="s">
        <v>351</v>
      </c>
      <c r="H243" s="20" t="s">
        <v>352</v>
      </c>
      <c r="I243" s="19"/>
      <c r="J243" s="20"/>
      <c r="K243" s="22">
        <v>24000</v>
      </c>
      <c r="L243" s="21"/>
      <c r="M243" s="22">
        <v>2</v>
      </c>
      <c r="N243" s="18"/>
    </row>
    <row x14ac:dyDescent="0.25" r="244" customHeight="1" ht="18.75">
      <c r="A244" s="4" t="s">
        <v>353</v>
      </c>
      <c r="B244" s="23">
        <v>92992.99</v>
      </c>
      <c r="C244" s="19"/>
      <c r="D244" s="18"/>
      <c r="E244" s="20" t="s">
        <v>354</v>
      </c>
      <c r="F244" s="20" t="s">
        <v>355</v>
      </c>
      <c r="G244" s="20"/>
      <c r="H244" s="20"/>
      <c r="I244" s="19"/>
      <c r="J244" s="20"/>
      <c r="K244" s="22">
        <f>164600+47712+26320+42300+39620+7080+5120+7120+4440+2200+1640</f>
      </c>
      <c r="L244" s="21"/>
      <c r="M244" s="22">
        <v>0</v>
      </c>
      <c r="N244" s="23">
        <f>695907.06</f>
      </c>
    </row>
    <row x14ac:dyDescent="0.25" r="245" customHeight="1" ht="18.75">
      <c r="A245" s="4" t="s">
        <v>356</v>
      </c>
      <c r="B245" s="22">
        <v>7000</v>
      </c>
      <c r="C245" s="19"/>
      <c r="D245" s="18"/>
      <c r="E245" s="22">
        <v>250</v>
      </c>
      <c r="F245" s="22">
        <v>400000</v>
      </c>
      <c r="G245" s="20"/>
      <c r="H245" s="20"/>
      <c r="I245" s="19"/>
      <c r="J245" s="20"/>
      <c r="K245" s="22">
        <v>1070000</v>
      </c>
      <c r="L245" s="21"/>
      <c r="M245" s="22">
        <v>0</v>
      </c>
      <c r="N245" s="22">
        <f>85000+30000</f>
      </c>
    </row>
    <row x14ac:dyDescent="0.25" r="246" customHeight="1" ht="18.75">
      <c r="A246" s="4" t="s">
        <v>357</v>
      </c>
      <c r="B246" s="23">
        <v>52132.52</v>
      </c>
      <c r="C246" s="19"/>
      <c r="D246" s="18"/>
      <c r="E246" s="20"/>
      <c r="F246" s="20"/>
      <c r="G246" s="20"/>
      <c r="H246" s="20"/>
      <c r="I246" s="19"/>
      <c r="J246" s="20"/>
      <c r="K246" s="20"/>
      <c r="L246" s="21"/>
      <c r="M246" s="22">
        <v>0</v>
      </c>
      <c r="N246" s="18"/>
    </row>
    <row x14ac:dyDescent="0.25" r="247" customHeight="1" ht="18.75">
      <c r="A247" s="4" t="s">
        <v>358</v>
      </c>
      <c r="B247" s="22">
        <v>450000</v>
      </c>
      <c r="C247" s="23">
        <f>6943.68+876.59</f>
      </c>
      <c r="D247" s="18"/>
      <c r="E247" s="20"/>
      <c r="F247" s="20"/>
      <c r="G247" s="22">
        <v>59</v>
      </c>
      <c r="H247" s="22">
        <v>500000</v>
      </c>
      <c r="I247" s="19"/>
      <c r="J247" s="20"/>
      <c r="K247" s="20"/>
      <c r="L247" s="21"/>
      <c r="M247" s="22">
        <v>0</v>
      </c>
      <c r="N247" s="23">
        <f>181055.45+77000</f>
      </c>
    </row>
    <row x14ac:dyDescent="0.25" r="248" customHeight="1" ht="18.75">
      <c r="A248" s="4" t="s">
        <v>359</v>
      </c>
      <c r="B248" s="22">
        <f>48100+7500</f>
      </c>
      <c r="C248" s="19"/>
      <c r="D248" s="18"/>
      <c r="E248" s="22">
        <v>160</v>
      </c>
      <c r="F248" s="22">
        <v>400000</v>
      </c>
      <c r="G248" s="20"/>
      <c r="H248" s="20"/>
      <c r="I248" s="19"/>
      <c r="J248" s="20"/>
      <c r="K248" s="22">
        <v>100000</v>
      </c>
      <c r="L248" s="21"/>
      <c r="M248" s="22">
        <v>2</v>
      </c>
      <c r="N248" s="23">
        <f>4049.14+11500</f>
      </c>
    </row>
    <row x14ac:dyDescent="0.25" r="249" customHeight="1" ht="18.75">
      <c r="A249" s="4" t="s">
        <v>360</v>
      </c>
      <c r="B249" s="23">
        <v>11697.36</v>
      </c>
      <c r="C249" s="19"/>
      <c r="D249" s="18"/>
      <c r="E249" s="20"/>
      <c r="F249" s="20"/>
      <c r="G249" s="20"/>
      <c r="H249" s="20"/>
      <c r="I249" s="19"/>
      <c r="J249" s="20"/>
      <c r="K249" s="20"/>
      <c r="L249" s="21"/>
      <c r="M249" s="22">
        <v>1</v>
      </c>
      <c r="N249" s="23">
        <f>69621.31+11697.36</f>
      </c>
    </row>
    <row x14ac:dyDescent="0.25" r="250" customHeight="1" ht="18.75">
      <c r="A250" s="4" t="s">
        <v>361</v>
      </c>
      <c r="B250" s="18"/>
      <c r="C250" s="19"/>
      <c r="D250" s="18"/>
      <c r="E250" s="22">
        <v>137</v>
      </c>
      <c r="F250" s="22">
        <v>400000</v>
      </c>
      <c r="G250" s="20"/>
      <c r="H250" s="20"/>
      <c r="I250" s="19"/>
      <c r="J250" s="20"/>
      <c r="K250" s="22">
        <v>80000</v>
      </c>
      <c r="L250" s="21"/>
      <c r="M250" s="22">
        <v>1</v>
      </c>
      <c r="N250" s="23">
        <f>121017.25+69100.58+59475.88+9546.69+21000+21850</f>
      </c>
    </row>
    <row x14ac:dyDescent="0.25" r="251" customHeight="1" ht="18.75">
      <c r="A251" s="4" t="s">
        <v>362</v>
      </c>
      <c r="B251" s="23">
        <v>637046.36</v>
      </c>
      <c r="C251" s="23">
        <f>68860.44+5809.55</f>
      </c>
      <c r="D251" s="18"/>
      <c r="E251" s="20"/>
      <c r="F251" s="20"/>
      <c r="G251" s="20"/>
      <c r="H251" s="20"/>
      <c r="I251" s="19"/>
      <c r="J251" s="20"/>
      <c r="K251" s="22">
        <f>55000+234000</f>
      </c>
      <c r="L251" s="21"/>
      <c r="M251" s="22">
        <v>0</v>
      </c>
      <c r="N251" s="18"/>
    </row>
    <row x14ac:dyDescent="0.25" r="252" customHeight="1" ht="18.75">
      <c r="A252" s="4" t="s">
        <v>363</v>
      </c>
      <c r="B252" s="22">
        <v>52000</v>
      </c>
      <c r="C252" s="19"/>
      <c r="D252" s="18"/>
      <c r="E252" s="22">
        <v>230</v>
      </c>
      <c r="F252" s="22">
        <v>650000</v>
      </c>
      <c r="G252" s="23">
        <v>59.5</v>
      </c>
      <c r="H252" s="22">
        <v>180000</v>
      </c>
      <c r="I252" s="19"/>
      <c r="J252" s="20"/>
      <c r="K252" s="22">
        <v>30000</v>
      </c>
      <c r="L252" s="21"/>
      <c r="M252" s="22">
        <v>1</v>
      </c>
      <c r="N252" s="22">
        <v>30000</v>
      </c>
    </row>
    <row x14ac:dyDescent="0.25" r="253" customHeight="1" ht="18.75">
      <c r="A253" s="4" t="s">
        <v>364</v>
      </c>
      <c r="B253" s="22">
        <v>120000</v>
      </c>
      <c r="C253" s="23">
        <f>106469.76+8765.9</f>
      </c>
      <c r="D253" s="18"/>
      <c r="E253" s="20"/>
      <c r="F253" s="20"/>
      <c r="G253" s="20"/>
      <c r="H253" s="20"/>
      <c r="I253" s="19"/>
      <c r="J253" s="20"/>
      <c r="K253" s="20"/>
      <c r="L253" s="21"/>
      <c r="M253" s="22">
        <v>0</v>
      </c>
      <c r="N253" s="18"/>
    </row>
    <row x14ac:dyDescent="0.25" r="254" customHeight="1" ht="18.75">
      <c r="A254" s="4" t="s">
        <v>365</v>
      </c>
      <c r="B254" s="22">
        <v>4700000</v>
      </c>
      <c r="C254" s="19"/>
      <c r="D254" s="18"/>
      <c r="E254" s="20" t="s">
        <v>366</v>
      </c>
      <c r="F254" s="20" t="s">
        <v>367</v>
      </c>
      <c r="G254" s="23">
        <v>72.4</v>
      </c>
      <c r="H254" s="22">
        <v>1100000</v>
      </c>
      <c r="I254" s="19"/>
      <c r="J254" s="20"/>
      <c r="K254" s="22">
        <v>800000</v>
      </c>
      <c r="L254" s="22">
        <v>350000</v>
      </c>
      <c r="M254" s="22">
        <v>0</v>
      </c>
      <c r="N254" s="18"/>
    </row>
    <row x14ac:dyDescent="0.25" r="255" customHeight="1" ht="18.75">
      <c r="A255" s="4" t="s">
        <v>368</v>
      </c>
      <c r="B255" s="23">
        <f>6984.12+47148.09</f>
      </c>
      <c r="C255" s="19"/>
      <c r="D255" s="18"/>
      <c r="E255" s="20"/>
      <c r="F255" s="20"/>
      <c r="G255" s="23">
        <v>72.85</v>
      </c>
      <c r="H255" s="22">
        <v>250000</v>
      </c>
      <c r="I255" s="19"/>
      <c r="J255" s="20"/>
      <c r="K255" s="20"/>
      <c r="L255" s="23">
        <f>85*2.97</f>
      </c>
      <c r="M255" s="22">
        <v>1</v>
      </c>
      <c r="N255" s="18"/>
    </row>
    <row x14ac:dyDescent="0.25" r="256" customHeight="1" ht="18.75">
      <c r="A256" s="4" t="s">
        <v>369</v>
      </c>
      <c r="B256" s="22">
        <v>10000</v>
      </c>
      <c r="C256" s="19"/>
      <c r="D256" s="18"/>
      <c r="E256" s="20"/>
      <c r="F256" s="20"/>
      <c r="G256" s="23">
        <v>63.7</v>
      </c>
      <c r="H256" s="22">
        <v>210000</v>
      </c>
      <c r="I256" s="19"/>
      <c r="J256" s="20"/>
      <c r="K256" s="20"/>
      <c r="L256" s="21"/>
      <c r="M256" s="22">
        <v>2</v>
      </c>
      <c r="N256" s="22">
        <v>108400</v>
      </c>
    </row>
    <row x14ac:dyDescent="0.25" r="257" customHeight="1" ht="18.75">
      <c r="A257" s="4" t="s">
        <v>370</v>
      </c>
      <c r="B257" s="22">
        <v>48000</v>
      </c>
      <c r="C257" s="19"/>
      <c r="D257" s="22">
        <f>51000+50000+12000</f>
      </c>
      <c r="E257" s="22">
        <v>264</v>
      </c>
      <c r="F257" s="22">
        <v>550000</v>
      </c>
      <c r="G257" s="20"/>
      <c r="H257" s="20"/>
      <c r="I257" s="19"/>
      <c r="J257" s="20"/>
      <c r="K257" s="22">
        <f>100000+60000+430000+5000</f>
      </c>
      <c r="L257" s="21"/>
      <c r="M257" s="22">
        <v>1</v>
      </c>
      <c r="N257" s="22">
        <v>25500</v>
      </c>
    </row>
    <row x14ac:dyDescent="0.25" r="258" customHeight="1" ht="18.75">
      <c r="A258" s="4" t="s">
        <v>371</v>
      </c>
      <c r="B258" s="23">
        <v>54307.33</v>
      </c>
      <c r="C258" s="19"/>
      <c r="D258" s="18"/>
      <c r="E258" s="23">
        <v>254.5</v>
      </c>
      <c r="F258" s="22">
        <v>500000</v>
      </c>
      <c r="G258" s="20"/>
      <c r="H258" s="20"/>
      <c r="I258" s="19"/>
      <c r="J258" s="20"/>
      <c r="K258" s="22">
        <f>60000+100000</f>
      </c>
      <c r="L258" s="21"/>
      <c r="M258" s="22">
        <v>1</v>
      </c>
      <c r="N258" s="23">
        <f>12032.7</f>
      </c>
    </row>
    <row x14ac:dyDescent="0.25" r="259" customHeight="1" ht="18.75">
      <c r="A259" s="4" t="s">
        <v>372</v>
      </c>
      <c r="B259" s="23">
        <f>39670+45908+31680+34627.8</f>
      </c>
      <c r="C259" s="23">
        <f>16711.12</f>
      </c>
      <c r="D259" s="18"/>
      <c r="E259" s="20"/>
      <c r="F259" s="20"/>
      <c r="G259" s="20" t="s">
        <v>373</v>
      </c>
      <c r="H259" s="20" t="s">
        <v>374</v>
      </c>
      <c r="I259" s="19"/>
      <c r="J259" s="20"/>
      <c r="K259" s="20"/>
      <c r="L259" s="21"/>
      <c r="M259" s="22">
        <v>1</v>
      </c>
      <c r="N259" s="23">
        <f>25984.57+13854+12205.96+155300</f>
      </c>
    </row>
    <row x14ac:dyDescent="0.25" r="260" customHeight="1" ht="18.75">
      <c r="A260" s="4" t="s">
        <v>375</v>
      </c>
      <c r="B260" s="22">
        <v>116000</v>
      </c>
      <c r="C260" s="19"/>
      <c r="D260" s="18"/>
      <c r="E260" s="20"/>
      <c r="F260" s="20"/>
      <c r="G260" s="22">
        <v>117</v>
      </c>
      <c r="H260" s="22">
        <v>528750</v>
      </c>
      <c r="I260" s="19"/>
      <c r="J260" s="20"/>
      <c r="K260" s="20"/>
      <c r="L260" s="21"/>
      <c r="M260" s="22">
        <v>1</v>
      </c>
      <c r="N260" s="22">
        <f>77200</f>
      </c>
    </row>
    <row x14ac:dyDescent="0.25" r="261" customHeight="1" ht="18.75">
      <c r="A261" s="4" t="s">
        <v>376</v>
      </c>
      <c r="B261" s="22">
        <v>126926</v>
      </c>
      <c r="C261" s="23">
        <v>11006.66</v>
      </c>
      <c r="D261" s="22">
        <f>14595+30656</f>
      </c>
      <c r="E261" s="22">
        <v>239</v>
      </c>
      <c r="F261" s="22">
        <v>650000</v>
      </c>
      <c r="G261" s="20"/>
      <c r="H261" s="20"/>
      <c r="I261" s="19"/>
      <c r="J261" s="20"/>
      <c r="K261" s="22">
        <v>100000</v>
      </c>
      <c r="L261" s="21"/>
      <c r="M261" s="22">
        <v>2</v>
      </c>
      <c r="N261" s="18"/>
    </row>
    <row x14ac:dyDescent="0.25" r="262" customHeight="1" ht="18.75">
      <c r="A262" s="4" t="s">
        <v>377</v>
      </c>
      <c r="B262" s="22">
        <v>12500</v>
      </c>
      <c r="C262" s="19"/>
      <c r="D262" s="18"/>
      <c r="E262" s="20"/>
      <c r="F262" s="20"/>
      <c r="G262" s="23">
        <v>104.82</v>
      </c>
      <c r="H262" s="22">
        <v>265000</v>
      </c>
      <c r="I262" s="19"/>
      <c r="J262" s="20"/>
      <c r="K262" s="20"/>
      <c r="L262" s="21"/>
      <c r="M262" s="22">
        <v>0</v>
      </c>
      <c r="N262" s="23">
        <v>90756.2</v>
      </c>
    </row>
    <row x14ac:dyDescent="0.25" r="263" customHeight="1" ht="18.75">
      <c r="A263" s="24" t="s">
        <v>378</v>
      </c>
      <c r="B263" s="18"/>
      <c r="C263" s="19"/>
      <c r="D263" s="18"/>
      <c r="E263" s="20"/>
      <c r="F263" s="20"/>
      <c r="G263" s="20"/>
      <c r="H263" s="20"/>
      <c r="I263" s="19"/>
      <c r="J263" s="20"/>
      <c r="K263" s="20"/>
      <c r="L263" s="21"/>
      <c r="M263" s="21"/>
      <c r="N263" s="18"/>
    </row>
    <row x14ac:dyDescent="0.25" r="264" customHeight="1" ht="18.75">
      <c r="A264" s="4" t="s">
        <v>379</v>
      </c>
      <c r="B264" s="22">
        <v>150000</v>
      </c>
      <c r="C264" s="23">
        <f>925.82+876.59+1979.7+64317.16</f>
      </c>
      <c r="D264" s="23">
        <f>12560.08+5023.75+11089.77+20814.93+18621.48+12672+45000</f>
      </c>
      <c r="E264" s="20" t="s">
        <v>380</v>
      </c>
      <c r="F264" s="20" t="s">
        <v>381</v>
      </c>
      <c r="G264" s="20"/>
      <c r="H264" s="20"/>
      <c r="I264" s="19"/>
      <c r="J264" s="20"/>
      <c r="K264" s="20"/>
      <c r="L264" s="21"/>
      <c r="M264" s="22">
        <v>1</v>
      </c>
      <c r="N264" s="18"/>
    </row>
    <row x14ac:dyDescent="0.25" r="265" customHeight="1" ht="18.75">
      <c r="A265" s="4" t="s">
        <v>382</v>
      </c>
      <c r="B265" s="22">
        <v>30000</v>
      </c>
      <c r="C265" s="19"/>
      <c r="D265" s="18"/>
      <c r="E265" s="20"/>
      <c r="F265" s="20"/>
      <c r="G265" s="23">
        <v>55.4</v>
      </c>
      <c r="H265" s="22">
        <v>300000</v>
      </c>
      <c r="I265" s="19"/>
      <c r="J265" s="20"/>
      <c r="K265" s="20"/>
      <c r="L265" s="21"/>
      <c r="M265" s="22">
        <v>0</v>
      </c>
      <c r="N265" s="23">
        <f>200278.38+20667.5</f>
      </c>
    </row>
    <row x14ac:dyDescent="0.25" r="266" customHeight="1" ht="18.75">
      <c r="A266" s="4" t="s">
        <v>383</v>
      </c>
      <c r="B266" s="23">
        <v>22406.66</v>
      </c>
      <c r="C266" s="19"/>
      <c r="D266" s="18"/>
      <c r="E266" s="20"/>
      <c r="F266" s="20"/>
      <c r="G266" s="22">
        <v>107</v>
      </c>
      <c r="H266" s="22">
        <v>890000</v>
      </c>
      <c r="I266" s="19"/>
      <c r="J266" s="20"/>
      <c r="K266" s="20"/>
      <c r="L266" s="21"/>
      <c r="M266" s="22">
        <v>0</v>
      </c>
      <c r="N266" s="22">
        <v>231830</v>
      </c>
    </row>
    <row x14ac:dyDescent="0.25" r="267" customHeight="1" ht="18.75">
      <c r="A267" s="4" t="s">
        <v>384</v>
      </c>
      <c r="B267" s="22">
        <v>7000</v>
      </c>
      <c r="C267" s="19"/>
      <c r="D267" s="22">
        <v>8000</v>
      </c>
      <c r="E267" s="22">
        <v>300</v>
      </c>
      <c r="F267" s="22">
        <v>950000</v>
      </c>
      <c r="G267" s="20"/>
      <c r="H267" s="20"/>
      <c r="I267" s="19"/>
      <c r="J267" s="20"/>
      <c r="K267" s="22">
        <f>400000</f>
      </c>
      <c r="L267" s="21"/>
      <c r="M267" s="22">
        <v>3</v>
      </c>
      <c r="N267" s="23">
        <v>747676.81</v>
      </c>
    </row>
    <row x14ac:dyDescent="0.25" r="268" customHeight="1" ht="18.75">
      <c r="A268" s="4" t="s">
        <v>385</v>
      </c>
      <c r="B268" s="22">
        <v>6000</v>
      </c>
      <c r="C268" s="19"/>
      <c r="D268" s="18"/>
      <c r="E268" s="23">
        <v>176.1</v>
      </c>
      <c r="F268" s="22">
        <v>350000</v>
      </c>
      <c r="G268" s="20"/>
      <c r="H268" s="20"/>
      <c r="I268" s="19"/>
      <c r="J268" s="20"/>
      <c r="K268" s="22">
        <v>250000</v>
      </c>
      <c r="L268" s="21"/>
      <c r="M268" s="22">
        <v>1</v>
      </c>
      <c r="N268" s="18"/>
    </row>
    <row x14ac:dyDescent="0.25" r="269" customHeight="1" ht="18.75">
      <c r="A269" s="4" t="s">
        <v>386</v>
      </c>
      <c r="B269" s="23">
        <f>15000+13709.31+22730.1+33726.88</f>
      </c>
      <c r="C269" s="19"/>
      <c r="D269" s="23">
        <f>561929.95-33726.88</f>
      </c>
      <c r="E269" s="20"/>
      <c r="F269" s="20"/>
      <c r="G269" s="20" t="s">
        <v>387</v>
      </c>
      <c r="H269" s="20" t="s">
        <v>388</v>
      </c>
      <c r="I269" s="19"/>
      <c r="J269" s="20"/>
      <c r="K269" s="22">
        <v>100000</v>
      </c>
      <c r="L269" s="21"/>
      <c r="M269" s="22">
        <v>2</v>
      </c>
      <c r="N269" s="23">
        <f>299084.9+9220+11500</f>
      </c>
    </row>
    <row x14ac:dyDescent="0.25" r="270" customHeight="1" ht="18.75">
      <c r="A270" s="4" t="s">
        <v>389</v>
      </c>
      <c r="B270" s="22">
        <v>59000</v>
      </c>
      <c r="C270" s="23">
        <f>53234.88+1665.52</f>
      </c>
      <c r="D270" s="18"/>
      <c r="E270" s="20"/>
      <c r="F270" s="20"/>
      <c r="G270" s="22">
        <v>153</v>
      </c>
      <c r="H270" s="22">
        <v>1500000</v>
      </c>
      <c r="I270" s="19"/>
      <c r="J270" s="20"/>
      <c r="K270" s="20"/>
      <c r="L270" s="21"/>
      <c r="M270" s="22">
        <v>2</v>
      </c>
      <c r="N270" s="23">
        <f>349998.5</f>
      </c>
    </row>
    <row x14ac:dyDescent="0.25" r="271" customHeight="1" ht="18.75">
      <c r="A271" s="4" t="s">
        <v>390</v>
      </c>
      <c r="B271" s="23">
        <v>183862.99</v>
      </c>
      <c r="C271" s="23">
        <v>257.47</v>
      </c>
      <c r="D271" s="18"/>
      <c r="E271" s="22">
        <v>162</v>
      </c>
      <c r="F271" s="22">
        <v>3000000</v>
      </c>
      <c r="G271" s="22">
        <v>137</v>
      </c>
      <c r="H271" s="22">
        <v>2500000</v>
      </c>
      <c r="I271" s="19"/>
      <c r="J271" s="20"/>
      <c r="K271" s="20"/>
      <c r="L271" s="21"/>
      <c r="M271" s="22">
        <v>0</v>
      </c>
      <c r="N271" s="18"/>
    </row>
    <row x14ac:dyDescent="0.25" r="272" customHeight="1" ht="18.75">
      <c r="A272" s="4" t="s">
        <v>391</v>
      </c>
      <c r="B272" s="23">
        <v>41699.98</v>
      </c>
      <c r="C272" s="23">
        <v>4559.93</v>
      </c>
      <c r="D272" s="23">
        <f>231265.13</f>
      </c>
      <c r="E272" s="23">
        <v>263.4</v>
      </c>
      <c r="F272" s="22">
        <v>650000</v>
      </c>
      <c r="G272" s="20"/>
      <c r="H272" s="20"/>
      <c r="I272" s="19"/>
      <c r="J272" s="20"/>
      <c r="K272" s="22">
        <v>50000</v>
      </c>
      <c r="L272" s="21"/>
      <c r="M272" s="22">
        <v>3</v>
      </c>
      <c r="N272" s="23">
        <v>30592.64</v>
      </c>
    </row>
    <row x14ac:dyDescent="0.25" r="273" customHeight="1" ht="18.75">
      <c r="A273" s="4" t="s">
        <v>392</v>
      </c>
      <c r="B273" s="22">
        <v>120000</v>
      </c>
      <c r="C273" s="19"/>
      <c r="D273" s="18"/>
      <c r="E273" s="20"/>
      <c r="F273" s="20"/>
      <c r="G273" s="23">
        <v>37.57</v>
      </c>
      <c r="H273" s="22">
        <v>100000</v>
      </c>
      <c r="I273" s="19"/>
      <c r="J273" s="20"/>
      <c r="K273" s="20"/>
      <c r="L273" s="21"/>
      <c r="M273" s="22">
        <v>0</v>
      </c>
      <c r="N273" s="18"/>
    </row>
    <row x14ac:dyDescent="0.25" r="274" customHeight="1" ht="18.75">
      <c r="A274" s="4" t="s">
        <v>393</v>
      </c>
      <c r="B274" s="22">
        <f>1070000</f>
      </c>
      <c r="C274" s="23">
        <f>6480.77+32872.13+2247.8</f>
      </c>
      <c r="D274" s="18"/>
      <c r="E274" s="20"/>
      <c r="F274" s="20"/>
      <c r="G274" s="23">
        <v>55.41</v>
      </c>
      <c r="H274" s="22">
        <v>300000</v>
      </c>
      <c r="I274" s="19"/>
      <c r="J274" s="20"/>
      <c r="K274" s="22">
        <v>50000</v>
      </c>
      <c r="L274" s="21"/>
      <c r="M274" s="22">
        <v>0</v>
      </c>
      <c r="N274" s="18"/>
    </row>
    <row x14ac:dyDescent="0.25" r="275" customHeight="1" ht="18.75">
      <c r="A275" s="4" t="s">
        <v>394</v>
      </c>
      <c r="B275" s="23">
        <f>75000+55830.85</f>
      </c>
      <c r="C275" s="19"/>
      <c r="D275" s="18"/>
      <c r="E275" s="22">
        <v>240</v>
      </c>
      <c r="F275" s="22">
        <v>400000</v>
      </c>
      <c r="G275" s="20"/>
      <c r="H275" s="20"/>
      <c r="I275" s="23">
        <v>1.36</v>
      </c>
      <c r="J275" s="22">
        <v>50000</v>
      </c>
      <c r="K275" s="22">
        <f>318000</f>
      </c>
      <c r="L275" s="21"/>
      <c r="M275" s="22">
        <v>3</v>
      </c>
      <c r="N275" s="23">
        <f>112905+1232267.37+2710920</f>
      </c>
    </row>
    <row x14ac:dyDescent="0.25" r="276" customHeight="1" ht="18.75">
      <c r="A276" s="4" t="s">
        <v>395</v>
      </c>
      <c r="B276" s="22">
        <v>30000</v>
      </c>
      <c r="C276" s="19"/>
      <c r="D276" s="18"/>
      <c r="E276" s="22">
        <v>168</v>
      </c>
      <c r="F276" s="22">
        <v>450000</v>
      </c>
      <c r="G276" s="20"/>
      <c r="H276" s="20"/>
      <c r="I276" s="19"/>
      <c r="J276" s="20"/>
      <c r="K276" s="22">
        <v>20000</v>
      </c>
      <c r="L276" s="21"/>
      <c r="M276" s="22">
        <v>1</v>
      </c>
      <c r="N276" s="23">
        <v>213245.89</v>
      </c>
    </row>
    <row x14ac:dyDescent="0.25" r="277" customHeight="1" ht="18.75">
      <c r="A277" s="4" t="s">
        <v>396</v>
      </c>
      <c r="B277" s="22">
        <v>65238</v>
      </c>
      <c r="C277" s="19"/>
      <c r="D277" s="18"/>
      <c r="E277" s="22">
        <v>105</v>
      </c>
      <c r="F277" s="22">
        <v>300000</v>
      </c>
      <c r="G277" s="20"/>
      <c r="H277" s="20"/>
      <c r="I277" s="19"/>
      <c r="J277" s="20"/>
      <c r="K277" s="22">
        <f>25000+45000+70000</f>
      </c>
      <c r="L277" s="23">
        <v>1916.78</v>
      </c>
      <c r="M277" s="22">
        <v>2</v>
      </c>
      <c r="N277" s="23">
        <v>103543.28</v>
      </c>
    </row>
    <row x14ac:dyDescent="0.25" r="278" customHeight="1" ht="18.75">
      <c r="A278" s="4" t="s">
        <v>397</v>
      </c>
      <c r="B278" s="22">
        <v>95000</v>
      </c>
      <c r="C278" s="23">
        <v>4629.12</v>
      </c>
      <c r="D278" s="18"/>
      <c r="E278" s="20"/>
      <c r="F278" s="20"/>
      <c r="G278" s="23">
        <v>48.25</v>
      </c>
      <c r="H278" s="22">
        <v>250000</v>
      </c>
      <c r="I278" s="19"/>
      <c r="J278" s="20"/>
      <c r="K278" s="20"/>
      <c r="L278" s="21"/>
      <c r="M278" s="22">
        <v>1</v>
      </c>
      <c r="N278" s="23">
        <v>251792.29</v>
      </c>
    </row>
    <row x14ac:dyDescent="0.25" r="279" customHeight="1" ht="18.75">
      <c r="A279" s="4" t="s">
        <v>398</v>
      </c>
      <c r="B279" s="23">
        <v>26820.2</v>
      </c>
      <c r="C279" s="19"/>
      <c r="D279" s="18"/>
      <c r="E279" s="20"/>
      <c r="F279" s="20"/>
      <c r="G279" s="20" t="s">
        <v>399</v>
      </c>
      <c r="H279" s="20" t="s">
        <v>400</v>
      </c>
      <c r="I279" s="19"/>
      <c r="J279" s="20"/>
      <c r="K279" s="20"/>
      <c r="L279" s="21"/>
      <c r="M279" s="22">
        <v>1</v>
      </c>
      <c r="N279" s="23">
        <f>22689.51+26100</f>
      </c>
    </row>
    <row x14ac:dyDescent="0.25" r="280" customHeight="1" ht="18.75">
      <c r="A280" s="4" t="s">
        <v>401</v>
      </c>
      <c r="B280" s="22">
        <v>660000</v>
      </c>
      <c r="C280" s="19"/>
      <c r="D280" s="22">
        <v>529465</v>
      </c>
      <c r="E280" s="23">
        <v>157.5</v>
      </c>
      <c r="F280" s="22">
        <v>250000</v>
      </c>
      <c r="G280" s="20"/>
      <c r="H280" s="20"/>
      <c r="I280" s="23">
        <v>29.5</v>
      </c>
      <c r="J280" s="22">
        <v>900000</v>
      </c>
      <c r="K280" s="20"/>
      <c r="L280" s="21"/>
      <c r="M280" s="22">
        <v>3</v>
      </c>
      <c r="N280" s="18"/>
    </row>
    <row x14ac:dyDescent="0.25" r="281" customHeight="1" ht="18.75">
      <c r="A281" s="4" t="s">
        <v>402</v>
      </c>
      <c r="B281" s="22">
        <v>30000</v>
      </c>
      <c r="C281" s="19"/>
      <c r="D281" s="18"/>
      <c r="E281" s="20"/>
      <c r="F281" s="20"/>
      <c r="G281" s="23">
        <v>51.71</v>
      </c>
      <c r="H281" s="22">
        <v>87725</v>
      </c>
      <c r="I281" s="19"/>
      <c r="J281" s="20"/>
      <c r="K281" s="20"/>
      <c r="L281" s="21"/>
      <c r="M281" s="22">
        <v>1</v>
      </c>
      <c r="N281" s="23">
        <v>47179.71</v>
      </c>
    </row>
    <row x14ac:dyDescent="0.25" r="282" customHeight="1" ht="18.75">
      <c r="A282" s="4" t="s">
        <v>403</v>
      </c>
      <c r="B282" s="22">
        <v>100000</v>
      </c>
      <c r="C282" s="23">
        <f>4629.12+4382.95</f>
      </c>
      <c r="D282" s="18"/>
      <c r="E282" s="22">
        <v>180</v>
      </c>
      <c r="F282" s="22">
        <v>650000</v>
      </c>
      <c r="G282" s="20"/>
      <c r="H282" s="20"/>
      <c r="I282" s="19"/>
      <c r="J282" s="20"/>
      <c r="K282" s="22">
        <v>100000</v>
      </c>
      <c r="L282" s="21"/>
      <c r="M282" s="22">
        <v>1</v>
      </c>
      <c r="N282" s="18"/>
    </row>
    <row x14ac:dyDescent="0.25" r="283" customHeight="1" ht="18.75">
      <c r="A283" s="4" t="s">
        <v>404</v>
      </c>
      <c r="B283" s="22">
        <v>20000</v>
      </c>
      <c r="C283" s="19"/>
      <c r="D283" s="18"/>
      <c r="E283" s="22">
        <v>106</v>
      </c>
      <c r="F283" s="22">
        <v>192000</v>
      </c>
      <c r="G283" s="20" t="s">
        <v>405</v>
      </c>
      <c r="H283" s="20" t="s">
        <v>406</v>
      </c>
      <c r="I283" s="19"/>
      <c r="J283" s="20"/>
      <c r="K283" s="22">
        <v>30000</v>
      </c>
      <c r="L283" s="21"/>
      <c r="M283" s="22">
        <v>0</v>
      </c>
      <c r="N283" s="23">
        <f>472364.99+40000</f>
      </c>
    </row>
    <row x14ac:dyDescent="0.25" r="284" customHeight="1" ht="18.75">
      <c r="A284" s="4" t="s">
        <v>407</v>
      </c>
      <c r="B284" s="18"/>
      <c r="C284" s="19"/>
      <c r="D284" s="18"/>
      <c r="E284" s="22">
        <v>170</v>
      </c>
      <c r="F284" s="22">
        <v>500000</v>
      </c>
      <c r="G284" s="20"/>
      <c r="H284" s="20"/>
      <c r="I284" s="23">
        <v>157.71</v>
      </c>
      <c r="J284" s="22">
        <v>380000</v>
      </c>
      <c r="K284" s="20"/>
      <c r="L284" s="21"/>
      <c r="M284" s="22">
        <v>1</v>
      </c>
      <c r="N284" s="22">
        <f>39000+38000</f>
      </c>
    </row>
    <row x14ac:dyDescent="0.25" r="285" customHeight="1" ht="18.75">
      <c r="A285" s="24" t="s">
        <v>408</v>
      </c>
      <c r="B285" s="18"/>
      <c r="C285" s="19"/>
      <c r="D285" s="18"/>
      <c r="E285" s="20"/>
      <c r="F285" s="20"/>
      <c r="G285" s="20"/>
      <c r="H285" s="20"/>
      <c r="I285" s="19"/>
      <c r="J285" s="20"/>
      <c r="K285" s="20"/>
      <c r="L285" s="21"/>
      <c r="M285" s="21"/>
      <c r="N285" s="18"/>
    </row>
    <row x14ac:dyDescent="0.25" r="286" customHeight="1" ht="18.75">
      <c r="A286" s="4" t="s">
        <v>409</v>
      </c>
      <c r="B286" s="22">
        <v>25340</v>
      </c>
      <c r="C286" s="23">
        <f>46291.2+43829.5</f>
      </c>
      <c r="D286" s="18"/>
      <c r="E286" s="20" t="s">
        <v>410</v>
      </c>
      <c r="F286" s="20" t="s">
        <v>411</v>
      </c>
      <c r="G286" s="20"/>
      <c r="H286" s="20"/>
      <c r="I286" s="19"/>
      <c r="J286" s="20"/>
      <c r="K286" s="22">
        <v>25000</v>
      </c>
      <c r="L286" s="21"/>
      <c r="M286" s="22">
        <v>1</v>
      </c>
      <c r="N286" s="18"/>
    </row>
    <row x14ac:dyDescent="0.25" r="287" customHeight="1" ht="18.75">
      <c r="A287" s="4" t="s">
        <v>412</v>
      </c>
      <c r="B287" s="22">
        <v>230000</v>
      </c>
      <c r="C287" s="19"/>
      <c r="D287" s="18"/>
      <c r="E287" s="22">
        <v>160</v>
      </c>
      <c r="F287" s="20"/>
      <c r="G287" s="22">
        <v>51</v>
      </c>
      <c r="H287" s="20"/>
      <c r="I287" s="19"/>
      <c r="J287" s="20"/>
      <c r="K287" s="20"/>
      <c r="L287" s="21"/>
      <c r="M287" s="22">
        <v>2</v>
      </c>
      <c r="N287" s="18"/>
    </row>
    <row x14ac:dyDescent="0.25" r="288" customHeight="1" ht="18.75">
      <c r="A288" s="4" t="s">
        <v>413</v>
      </c>
      <c r="B288" s="22">
        <v>50000</v>
      </c>
      <c r="C288" s="19"/>
      <c r="D288" s="18"/>
      <c r="E288" s="20"/>
      <c r="F288" s="20"/>
      <c r="G288" s="22">
        <v>72</v>
      </c>
      <c r="H288" s="22">
        <v>550000</v>
      </c>
      <c r="I288" s="19"/>
      <c r="J288" s="20"/>
      <c r="K288" s="22">
        <v>150000</v>
      </c>
      <c r="L288" s="21"/>
      <c r="M288" s="22">
        <v>1</v>
      </c>
      <c r="N288" s="22">
        <v>55000</v>
      </c>
    </row>
    <row x14ac:dyDescent="0.25" r="289" customHeight="1" ht="18.75">
      <c r="A289" s="4" t="s">
        <v>414</v>
      </c>
      <c r="B289" s="22">
        <v>37000</v>
      </c>
      <c r="C289" s="19"/>
      <c r="D289" s="18"/>
      <c r="E289" s="20"/>
      <c r="F289" s="20"/>
      <c r="G289" s="20"/>
      <c r="H289" s="20"/>
      <c r="I289" s="19"/>
      <c r="J289" s="20"/>
      <c r="K289" s="22">
        <v>240000</v>
      </c>
      <c r="L289" s="21"/>
      <c r="M289" s="22">
        <v>1</v>
      </c>
      <c r="N289" s="18"/>
    </row>
    <row x14ac:dyDescent="0.25" r="290" customHeight="1" ht="18.75">
      <c r="A290" s="4" t="s">
        <v>415</v>
      </c>
      <c r="B290" s="23">
        <v>164186.36</v>
      </c>
      <c r="C290" s="23">
        <v>35948.96</v>
      </c>
      <c r="D290" s="18"/>
      <c r="E290" s="22">
        <v>63</v>
      </c>
      <c r="F290" s="22">
        <v>100000</v>
      </c>
      <c r="G290" s="20"/>
      <c r="H290" s="20"/>
      <c r="I290" s="19"/>
      <c r="J290" s="20"/>
      <c r="K290" s="22">
        <v>50000</v>
      </c>
      <c r="L290" s="21"/>
      <c r="M290" s="22">
        <v>1</v>
      </c>
      <c r="N290" s="22">
        <v>10000</v>
      </c>
    </row>
    <row x14ac:dyDescent="0.25" r="291" customHeight="1" ht="18.75">
      <c r="A291" s="4" t="s">
        <v>416</v>
      </c>
      <c r="B291" s="23">
        <v>195662.8</v>
      </c>
      <c r="C291" s="23">
        <f>925.82</f>
      </c>
      <c r="D291" s="18"/>
      <c r="E291" s="23">
        <v>423.3</v>
      </c>
      <c r="F291" s="22">
        <v>1400000</v>
      </c>
      <c r="G291" s="20" t="s">
        <v>417</v>
      </c>
      <c r="H291" s="20" t="s">
        <v>418</v>
      </c>
      <c r="I291" s="19"/>
      <c r="J291" s="20"/>
      <c r="K291" s="22">
        <f>400000+100000+12000+25000</f>
      </c>
      <c r="L291" s="21"/>
      <c r="M291" s="22">
        <v>1</v>
      </c>
      <c r="N291" s="23">
        <f>24225+155212.2+36675.78+151210.76</f>
      </c>
    </row>
    <row x14ac:dyDescent="0.25" r="292" customHeight="1" ht="18.75">
      <c r="A292" s="4" t="s">
        <v>419</v>
      </c>
      <c r="B292" s="23">
        <v>72050.77</v>
      </c>
      <c r="C292" s="19"/>
      <c r="D292" s="18"/>
      <c r="E292" s="20"/>
      <c r="F292" s="20"/>
      <c r="G292" s="23">
        <v>48.12</v>
      </c>
      <c r="H292" s="22">
        <v>300000</v>
      </c>
      <c r="I292" s="19"/>
      <c r="J292" s="20"/>
      <c r="K292" s="20"/>
      <c r="L292" s="21"/>
      <c r="M292" s="22">
        <v>0</v>
      </c>
      <c r="N292" s="23">
        <v>147880.71</v>
      </c>
    </row>
    <row x14ac:dyDescent="0.25" r="293" customHeight="1" ht="18.75">
      <c r="A293" s="4" t="s">
        <v>420</v>
      </c>
      <c r="B293" s="22">
        <v>14832</v>
      </c>
      <c r="C293" s="19"/>
      <c r="D293" s="18"/>
      <c r="E293" s="22">
        <v>190</v>
      </c>
      <c r="F293" s="22">
        <v>750000</v>
      </c>
      <c r="G293" s="20"/>
      <c r="H293" s="20"/>
      <c r="I293" s="19"/>
      <c r="J293" s="20"/>
      <c r="K293" s="20"/>
      <c r="L293" s="21"/>
      <c r="M293" s="22">
        <v>1</v>
      </c>
      <c r="N293" s="23">
        <f>147387.83+82613.14+34559.32</f>
      </c>
    </row>
    <row x14ac:dyDescent="0.25" r="294" customHeight="1" ht="18.75">
      <c r="A294" s="4" t="s">
        <v>421</v>
      </c>
      <c r="B294" s="23">
        <v>3652.37</v>
      </c>
      <c r="C294" s="19"/>
      <c r="D294" s="18"/>
      <c r="E294" s="22">
        <v>184</v>
      </c>
      <c r="F294" s="22">
        <v>350000</v>
      </c>
      <c r="G294" s="20"/>
      <c r="H294" s="20"/>
      <c r="I294" s="23">
        <v>1.65</v>
      </c>
      <c r="J294" s="22">
        <v>28000</v>
      </c>
      <c r="K294" s="22">
        <f>20000</f>
      </c>
      <c r="L294" s="21"/>
      <c r="M294" s="22">
        <v>1</v>
      </c>
      <c r="N294" s="23">
        <f>126083.63+4406.22</f>
      </c>
    </row>
    <row x14ac:dyDescent="0.25" r="295" customHeight="1" ht="18.75">
      <c r="A295" s="4" t="s">
        <v>422</v>
      </c>
      <c r="B295" s="22">
        <v>20000</v>
      </c>
      <c r="C295" s="19"/>
      <c r="D295" s="22">
        <v>245416</v>
      </c>
      <c r="E295" s="22">
        <v>200</v>
      </c>
      <c r="F295" s="22">
        <v>500000</v>
      </c>
      <c r="G295" s="23">
        <v>23.5</v>
      </c>
      <c r="H295" s="22">
        <v>100000</v>
      </c>
      <c r="I295" s="19"/>
      <c r="J295" s="20"/>
      <c r="K295" s="22">
        <v>100000</v>
      </c>
      <c r="L295" s="21"/>
      <c r="M295" s="22">
        <v>1</v>
      </c>
      <c r="N295" s="23">
        <f>46363.55+29506.05</f>
      </c>
    </row>
    <row x14ac:dyDescent="0.25" r="296" customHeight="1" ht="18.75">
      <c r="A296" s="4" t="s">
        <v>423</v>
      </c>
      <c r="B296" s="18"/>
      <c r="C296" s="19"/>
      <c r="D296" s="18"/>
      <c r="E296" s="22">
        <v>90</v>
      </c>
      <c r="F296" s="22">
        <v>150000</v>
      </c>
      <c r="G296" s="20"/>
      <c r="H296" s="20"/>
      <c r="I296" s="19"/>
      <c r="J296" s="20"/>
      <c r="K296" s="20"/>
      <c r="L296" s="21"/>
      <c r="M296" s="22">
        <v>1</v>
      </c>
      <c r="N296" s="18"/>
    </row>
    <row x14ac:dyDescent="0.25" r="297" customHeight="1" ht="18.75">
      <c r="A297" s="4" t="s">
        <v>424</v>
      </c>
      <c r="B297" s="22">
        <v>42000</v>
      </c>
      <c r="C297" s="19"/>
      <c r="D297" s="18"/>
      <c r="E297" s="22">
        <v>281</v>
      </c>
      <c r="F297" s="22">
        <v>450000</v>
      </c>
      <c r="G297" s="22">
        <v>57</v>
      </c>
      <c r="H297" s="22">
        <v>160000</v>
      </c>
      <c r="I297" s="19"/>
      <c r="J297" s="20"/>
      <c r="K297" s="22">
        <v>30000</v>
      </c>
      <c r="L297" s="21"/>
      <c r="M297" s="22">
        <v>1</v>
      </c>
      <c r="N297" s="23">
        <f>128075.08+163195.45+109924.74+67000+23800</f>
      </c>
    </row>
    <row x14ac:dyDescent="0.25" r="298" customHeight="1" ht="18.75">
      <c r="A298" s="4" t="s">
        <v>425</v>
      </c>
      <c r="B298" s="23">
        <f>99515.16+87222.74</f>
      </c>
      <c r="C298" s="19"/>
      <c r="D298" s="18"/>
      <c r="E298" s="22">
        <v>150</v>
      </c>
      <c r="F298" s="22">
        <v>550000</v>
      </c>
      <c r="G298" s="20" t="s">
        <v>426</v>
      </c>
      <c r="H298" s="20" t="s">
        <v>427</v>
      </c>
      <c r="I298" s="19"/>
      <c r="J298" s="20"/>
      <c r="K298" s="20"/>
      <c r="L298" s="21"/>
      <c r="M298" s="22">
        <v>2</v>
      </c>
      <c r="N298" s="18"/>
    </row>
    <row x14ac:dyDescent="0.25" r="299" customHeight="1" ht="18.75">
      <c r="A299" s="4" t="s">
        <v>428</v>
      </c>
      <c r="B299" s="22">
        <v>300000</v>
      </c>
      <c r="C299" s="23">
        <f>243028.8</f>
      </c>
      <c r="D299" s="22">
        <v>490000</v>
      </c>
      <c r="E299" s="20"/>
      <c r="F299" s="20"/>
      <c r="G299" s="23">
        <v>91.54</v>
      </c>
      <c r="H299" s="22">
        <v>400000</v>
      </c>
      <c r="I299" s="19"/>
      <c r="J299" s="20"/>
      <c r="K299" s="20"/>
      <c r="L299" s="21"/>
      <c r="M299" s="22">
        <v>2</v>
      </c>
      <c r="N299" s="22">
        <v>98000</v>
      </c>
    </row>
    <row x14ac:dyDescent="0.25" r="300" customHeight="1" ht="18.75">
      <c r="A300" s="4" t="s">
        <v>429</v>
      </c>
      <c r="B300" s="22">
        <v>210000</v>
      </c>
      <c r="C300" s="23">
        <v>15044.64</v>
      </c>
      <c r="D300" s="18"/>
      <c r="E300" s="20"/>
      <c r="F300" s="20"/>
      <c r="G300" s="20" t="s">
        <v>430</v>
      </c>
      <c r="H300" s="20" t="s">
        <v>431</v>
      </c>
      <c r="I300" s="19"/>
      <c r="J300" s="20"/>
      <c r="K300" s="20"/>
      <c r="L300" s="21"/>
      <c r="M300" s="22">
        <v>1</v>
      </c>
      <c r="N300" s="23">
        <f>33613.67</f>
      </c>
    </row>
    <row x14ac:dyDescent="0.25" r="301" customHeight="1" ht="18.75">
      <c r="A301" s="4" t="s">
        <v>432</v>
      </c>
      <c r="B301" s="23">
        <v>56466.76</v>
      </c>
      <c r="C301" s="23">
        <v>53663.68</v>
      </c>
      <c r="D301" s="23">
        <v>21136.3</v>
      </c>
      <c r="E301" s="22">
        <v>220</v>
      </c>
      <c r="F301" s="20"/>
      <c r="G301" s="20"/>
      <c r="H301" s="20"/>
      <c r="I301" s="19"/>
      <c r="J301" s="20"/>
      <c r="K301" s="20"/>
      <c r="L301" s="21"/>
      <c r="M301" s="22">
        <v>2</v>
      </c>
      <c r="N301" s="23">
        <f>193035.55</f>
      </c>
    </row>
    <row x14ac:dyDescent="0.25" r="302" customHeight="1" ht="18.75">
      <c r="A302" s="4" t="s">
        <v>433</v>
      </c>
      <c r="B302" s="22">
        <v>70500</v>
      </c>
      <c r="C302" s="19"/>
      <c r="D302" s="18"/>
      <c r="E302" s="22">
        <v>170</v>
      </c>
      <c r="F302" s="22">
        <v>400000</v>
      </c>
      <c r="G302" s="20" t="s">
        <v>434</v>
      </c>
      <c r="H302" s="20" t="s">
        <v>435</v>
      </c>
      <c r="I302" s="19"/>
      <c r="J302" s="20"/>
      <c r="K302" s="22">
        <f>28600+26400+41800</f>
      </c>
      <c r="L302" s="21"/>
      <c r="M302" s="22">
        <v>1</v>
      </c>
      <c r="N302" s="18"/>
    </row>
    <row x14ac:dyDescent="0.25" r="303" customHeight="1" ht="18.75">
      <c r="A303" s="4" t="s">
        <v>436</v>
      </c>
      <c r="B303" s="22">
        <v>8500</v>
      </c>
      <c r="C303" s="23">
        <f>2777.47+3506.36</f>
      </c>
      <c r="D303" s="18"/>
      <c r="E303" s="20"/>
      <c r="F303" s="20"/>
      <c r="G303" s="20" t="s">
        <v>437</v>
      </c>
      <c r="H303" s="20" t="s">
        <v>438</v>
      </c>
      <c r="I303" s="19"/>
      <c r="J303" s="20"/>
      <c r="K303" s="22">
        <v>250000</v>
      </c>
      <c r="L303" s="21"/>
      <c r="M303" s="22">
        <v>1</v>
      </c>
      <c r="N303" s="22">
        <f>45000+11000</f>
      </c>
    </row>
    <row x14ac:dyDescent="0.25" r="304" customHeight="1" ht="18.75">
      <c r="A304" s="4" t="s">
        <v>439</v>
      </c>
      <c r="B304" s="22">
        <f>255000+50000</f>
      </c>
      <c r="C304" s="19"/>
      <c r="D304" s="22">
        <v>54000</v>
      </c>
      <c r="E304" s="20"/>
      <c r="F304" s="20"/>
      <c r="G304" s="20" t="s">
        <v>440</v>
      </c>
      <c r="H304" s="20" t="s">
        <v>441</v>
      </c>
      <c r="I304" s="19"/>
      <c r="J304" s="20"/>
      <c r="K304" s="22">
        <v>16500</v>
      </c>
      <c r="L304" s="21"/>
      <c r="M304" s="22">
        <v>1</v>
      </c>
      <c r="N304" s="18"/>
    </row>
    <row x14ac:dyDescent="0.25" r="305" customHeight="1" ht="18.75">
      <c r="A305" s="4" t="s">
        <v>442</v>
      </c>
      <c r="B305" s="23">
        <f>81198.81+120284.83+125223.54</f>
      </c>
      <c r="C305" s="19"/>
      <c r="D305" s="18"/>
      <c r="E305" s="20" t="s">
        <v>443</v>
      </c>
      <c r="F305" s="20" t="s">
        <v>444</v>
      </c>
      <c r="G305" s="20"/>
      <c r="H305" s="20"/>
      <c r="I305" s="19"/>
      <c r="J305" s="20"/>
      <c r="K305" s="22">
        <f>81000</f>
      </c>
      <c r="L305" s="21"/>
      <c r="M305" s="22">
        <v>1</v>
      </c>
      <c r="N305" s="23">
        <f>4468.56</f>
      </c>
    </row>
    <row x14ac:dyDescent="0.25" r="306" customHeight="1" ht="18.75">
      <c r="A306" s="4" t="s">
        <v>445</v>
      </c>
      <c r="B306" s="22">
        <v>2800</v>
      </c>
      <c r="C306" s="23">
        <f>26.71</f>
      </c>
      <c r="D306" s="18"/>
      <c r="E306" s="22">
        <v>250</v>
      </c>
      <c r="F306" s="22">
        <v>250000</v>
      </c>
      <c r="G306" s="20" t="s">
        <v>446</v>
      </c>
      <c r="H306" s="20" t="s">
        <v>447</v>
      </c>
      <c r="I306" s="19"/>
      <c r="J306" s="20"/>
      <c r="K306" s="20"/>
      <c r="L306" s="21"/>
      <c r="M306" s="22">
        <v>1</v>
      </c>
      <c r="N306" s="23">
        <f>742500+13327.34+30000</f>
      </c>
    </row>
    <row x14ac:dyDescent="0.25" r="307" customHeight="1" ht="18.75">
      <c r="A307" s="4" t="s">
        <v>448</v>
      </c>
      <c r="B307" s="22">
        <v>100000</v>
      </c>
      <c r="C307" s="19"/>
      <c r="D307" s="18"/>
      <c r="E307" s="22">
        <v>130</v>
      </c>
      <c r="F307" s="22">
        <v>980000</v>
      </c>
      <c r="G307" s="20"/>
      <c r="H307" s="20"/>
      <c r="I307" s="19"/>
      <c r="J307" s="20"/>
      <c r="K307" s="20"/>
      <c r="L307" s="21"/>
      <c r="M307" s="22">
        <v>1</v>
      </c>
      <c r="N307" s="22">
        <f>220000+30000</f>
      </c>
    </row>
    <row x14ac:dyDescent="0.25" r="308" customHeight="1" ht="18.75">
      <c r="A308" s="4" t="s">
        <v>449</v>
      </c>
      <c r="B308" s="22">
        <v>48400</v>
      </c>
      <c r="C308" s="23">
        <f>2083.1+1417.67</f>
      </c>
      <c r="D308" s="18"/>
      <c r="E308" s="20"/>
      <c r="F308" s="20"/>
      <c r="G308" s="23">
        <v>57.4</v>
      </c>
      <c r="H308" s="22">
        <v>200000</v>
      </c>
      <c r="I308" s="19"/>
      <c r="J308" s="20"/>
      <c r="K308" s="20"/>
      <c r="L308" s="21"/>
      <c r="M308" s="22">
        <v>1</v>
      </c>
      <c r="N308" s="23">
        <f>108598.95</f>
      </c>
    </row>
    <row x14ac:dyDescent="0.25" r="309" customHeight="1" ht="18.75">
      <c r="A309" s="4" t="s">
        <v>450</v>
      </c>
      <c r="B309" s="22">
        <v>20375</v>
      </c>
      <c r="C309" s="19"/>
      <c r="D309" s="18"/>
      <c r="E309" s="22">
        <v>130</v>
      </c>
      <c r="F309" s="22">
        <v>320000</v>
      </c>
      <c r="G309" s="20"/>
      <c r="H309" s="20"/>
      <c r="I309" s="19"/>
      <c r="J309" s="20"/>
      <c r="K309" s="22">
        <v>180000</v>
      </c>
      <c r="L309" s="21"/>
      <c r="M309" s="22">
        <v>1</v>
      </c>
      <c r="N309" s="22">
        <f>38095+24400+31752</f>
      </c>
    </row>
    <row x14ac:dyDescent="0.25" r="310" customHeight="1" ht="18.75">
      <c r="A310" s="4" t="s">
        <v>451</v>
      </c>
      <c r="B310" s="22">
        <v>655105</v>
      </c>
      <c r="C310" s="23">
        <f>13100.41+8125.99</f>
      </c>
      <c r="D310" s="18"/>
      <c r="E310" s="23">
        <v>217.79</v>
      </c>
      <c r="F310" s="22">
        <v>350000</v>
      </c>
      <c r="G310" s="20"/>
      <c r="H310" s="20"/>
      <c r="I310" s="19"/>
      <c r="J310" s="20"/>
      <c r="K310" s="22">
        <f>18000+25000+24000+60000</f>
      </c>
      <c r="L310" s="21"/>
      <c r="M310" s="22">
        <v>2</v>
      </c>
      <c r="N310" s="18"/>
    </row>
    <row x14ac:dyDescent="0.25" r="311" customHeight="1" ht="18.75">
      <c r="A311" s="4" t="s">
        <v>452</v>
      </c>
      <c r="B311" s="23">
        <v>243657.61</v>
      </c>
      <c r="C311" s="23">
        <f>6486.77</f>
      </c>
      <c r="D311" s="18"/>
      <c r="E311" s="22">
        <v>110</v>
      </c>
      <c r="F311" s="22">
        <v>250000</v>
      </c>
      <c r="G311" s="20"/>
      <c r="H311" s="20"/>
      <c r="I311" s="23">
        <v>11.13</v>
      </c>
      <c r="J311" s="22">
        <v>275000</v>
      </c>
      <c r="K311" s="22">
        <v>57000</v>
      </c>
      <c r="L311" s="21"/>
      <c r="M311" s="22">
        <v>2</v>
      </c>
      <c r="N311" s="18"/>
    </row>
    <row x14ac:dyDescent="0.25" r="312" customHeight="1" ht="18.75">
      <c r="A312" s="4" t="s">
        <v>453</v>
      </c>
      <c r="B312" s="22">
        <f>160000+15000</f>
      </c>
      <c r="C312" s="23">
        <f>2314.56</f>
      </c>
      <c r="D312" s="18"/>
      <c r="E312" s="20"/>
      <c r="F312" s="20"/>
      <c r="G312" s="20" t="s">
        <v>454</v>
      </c>
      <c r="H312" s="20" t="s">
        <v>455</v>
      </c>
      <c r="I312" s="23">
        <v>0.1132</v>
      </c>
      <c r="J312" s="22">
        <v>100000</v>
      </c>
      <c r="K312" s="22">
        <v>10000</v>
      </c>
      <c r="L312" s="21"/>
      <c r="M312" s="22">
        <v>0</v>
      </c>
      <c r="N312" s="18"/>
    </row>
    <row x14ac:dyDescent="0.25" r="313" customHeight="1" ht="18.75">
      <c r="A313" s="4" t="s">
        <v>456</v>
      </c>
      <c r="B313" s="22">
        <v>40000</v>
      </c>
      <c r="C313" s="23">
        <f>4629.12</f>
      </c>
      <c r="D313" s="23">
        <f>44845.81+53904.63</f>
      </c>
      <c r="E313" s="22">
        <v>376</v>
      </c>
      <c r="F313" s="22">
        <v>1500000</v>
      </c>
      <c r="G313" s="22">
        <v>111</v>
      </c>
      <c r="H313" s="22">
        <v>1500000</v>
      </c>
      <c r="I313" s="19"/>
      <c r="J313" s="20"/>
      <c r="K313" s="22">
        <v>50000</v>
      </c>
      <c r="L313" s="21"/>
      <c r="M313" s="22">
        <v>1</v>
      </c>
      <c r="N313" s="23">
        <f>435000+427224.02</f>
      </c>
    </row>
    <row x14ac:dyDescent="0.25" r="314" customHeight="1" ht="18.75">
      <c r="A314" s="4" t="s">
        <v>457</v>
      </c>
      <c r="B314" s="22">
        <v>35000</v>
      </c>
      <c r="C314" s="19"/>
      <c r="D314" s="18"/>
      <c r="E314" s="22">
        <v>200</v>
      </c>
      <c r="F314" s="22">
        <v>800000</v>
      </c>
      <c r="G314" s="20"/>
      <c r="H314" s="20"/>
      <c r="I314" s="19"/>
      <c r="J314" s="20"/>
      <c r="K314" s="20"/>
      <c r="L314" s="21"/>
      <c r="M314" s="22">
        <v>1</v>
      </c>
      <c r="N314" s="22">
        <f>114400+3350+23800</f>
      </c>
    </row>
    <row x14ac:dyDescent="0.25" r="315" customHeight="1" ht="18.75">
      <c r="A315" s="4" t="s">
        <v>458</v>
      </c>
      <c r="B315" s="22">
        <v>110000</v>
      </c>
      <c r="C315" s="23">
        <f>438.3</f>
      </c>
      <c r="D315" s="18"/>
      <c r="E315" s="23">
        <v>127.83</v>
      </c>
      <c r="F315" s="22">
        <v>100000</v>
      </c>
      <c r="G315" s="20" t="s">
        <v>459</v>
      </c>
      <c r="H315" s="20" t="s">
        <v>460</v>
      </c>
      <c r="I315" s="19"/>
      <c r="J315" s="20"/>
      <c r="K315" s="22">
        <f>180000</f>
      </c>
      <c r="L315" s="21"/>
      <c r="M315" s="22">
        <v>1</v>
      </c>
      <c r="N315" s="22">
        <f>774400+154000+30600</f>
      </c>
    </row>
    <row x14ac:dyDescent="0.25" r="316" customHeight="1" ht="18.75">
      <c r="A316" s="4" t="s">
        <v>461</v>
      </c>
      <c r="B316" s="23">
        <v>21416.28</v>
      </c>
      <c r="C316" s="19"/>
      <c r="D316" s="18"/>
      <c r="E316" s="20"/>
      <c r="F316" s="20"/>
      <c r="G316" s="23">
        <v>94.97</v>
      </c>
      <c r="H316" s="22">
        <f>200000+130000</f>
      </c>
      <c r="I316" s="19"/>
      <c r="J316" s="20"/>
      <c r="K316" s="22">
        <v>25050</v>
      </c>
      <c r="L316" s="21"/>
      <c r="M316" s="22">
        <v>2</v>
      </c>
      <c r="N316" s="22">
        <v>5050</v>
      </c>
    </row>
    <row x14ac:dyDescent="0.25" r="317" customHeight="1" ht="18.75">
      <c r="A317" s="4" t="s">
        <v>462</v>
      </c>
      <c r="B317" s="22">
        <v>870000</v>
      </c>
      <c r="C317" s="23">
        <f>3240.38</f>
      </c>
      <c r="D317" s="18"/>
      <c r="E317" s="20"/>
      <c r="F317" s="20"/>
      <c r="G317" s="20" t="s">
        <v>463</v>
      </c>
      <c r="H317" s="20" t="s">
        <v>464</v>
      </c>
      <c r="I317" s="19"/>
      <c r="J317" s="20"/>
      <c r="K317" s="22">
        <f>350000+60000</f>
      </c>
      <c r="L317" s="21"/>
      <c r="M317" s="22">
        <v>2</v>
      </c>
      <c r="N317" s="22">
        <v>32000</v>
      </c>
    </row>
    <row x14ac:dyDescent="0.25" r="318" customHeight="1" ht="18.75">
      <c r="A318" s="4" t="s">
        <v>465</v>
      </c>
      <c r="B318" s="22">
        <v>90000</v>
      </c>
      <c r="C318" s="23">
        <f>18516.48</f>
      </c>
      <c r="D318" s="18"/>
      <c r="E318" s="22">
        <v>247</v>
      </c>
      <c r="F318" s="22">
        <v>1350000</v>
      </c>
      <c r="G318" s="20"/>
      <c r="H318" s="20"/>
      <c r="I318" s="19"/>
      <c r="J318" s="20"/>
      <c r="K318" s="20"/>
      <c r="L318" s="21"/>
      <c r="M318" s="22">
        <v>0</v>
      </c>
      <c r="N318" s="22">
        <f>76000+40000+12700+6000+20000</f>
      </c>
    </row>
    <row x14ac:dyDescent="0.25" r="319" customHeight="1" ht="18.75">
      <c r="A319" s="4" t="s">
        <v>466</v>
      </c>
      <c r="B319" s="22">
        <v>53630</v>
      </c>
      <c r="C319" s="23">
        <f>694.37</f>
      </c>
      <c r="D319" s="18"/>
      <c r="E319" s="22">
        <v>196</v>
      </c>
      <c r="F319" s="22">
        <v>350000</v>
      </c>
      <c r="G319" s="20"/>
      <c r="H319" s="20"/>
      <c r="I319" s="19"/>
      <c r="J319" s="20"/>
      <c r="K319" s="20"/>
      <c r="L319" s="21"/>
      <c r="M319" s="22">
        <v>2</v>
      </c>
      <c r="N319" s="23">
        <f>35000+70500+353291.62+17850</f>
      </c>
    </row>
    <row x14ac:dyDescent="0.25" r="320" customHeight="1" ht="18.75">
      <c r="A320" s="4" t="s">
        <v>467</v>
      </c>
      <c r="B320" s="22">
        <v>414000</v>
      </c>
      <c r="C320" s="19"/>
      <c r="D320" s="18"/>
      <c r="E320" s="22">
        <v>180</v>
      </c>
      <c r="F320" s="22">
        <v>800000</v>
      </c>
      <c r="G320" s="22">
        <v>26</v>
      </c>
      <c r="H320" s="22">
        <v>110000</v>
      </c>
      <c r="I320" s="19"/>
      <c r="J320" s="20"/>
      <c r="K320" s="20"/>
      <c r="L320" s="21"/>
      <c r="M320" s="22">
        <v>3</v>
      </c>
      <c r="N320" s="22">
        <v>410000</v>
      </c>
    </row>
    <row x14ac:dyDescent="0.25" r="321" customHeight="1" ht="18.75">
      <c r="A321" s="4" t="s">
        <v>468</v>
      </c>
      <c r="B321" s="23">
        <v>29851.35</v>
      </c>
      <c r="C321" s="19"/>
      <c r="D321" s="18"/>
      <c r="E321" s="20" t="s">
        <v>469</v>
      </c>
      <c r="F321" s="20" t="s">
        <v>470</v>
      </c>
      <c r="G321" s="20"/>
      <c r="H321" s="20"/>
      <c r="I321" s="19"/>
      <c r="J321" s="20"/>
      <c r="K321" s="22">
        <v>80000</v>
      </c>
      <c r="L321" s="21"/>
      <c r="M321" s="22">
        <v>1</v>
      </c>
      <c r="N321" s="18"/>
    </row>
    <row x14ac:dyDescent="0.25" r="322" customHeight="1" ht="18.75">
      <c r="A322" s="4" t="s">
        <v>471</v>
      </c>
      <c r="B322" s="23">
        <v>232721.76</v>
      </c>
      <c r="C322" s="23">
        <f>24352.92</f>
      </c>
      <c r="D322" s="18"/>
      <c r="E322" s="20"/>
      <c r="F322" s="20"/>
      <c r="G322" s="20"/>
      <c r="H322" s="20"/>
      <c r="I322" s="19"/>
      <c r="J322" s="20"/>
      <c r="K322" s="22">
        <f>43000+57000</f>
      </c>
      <c r="L322" s="21"/>
      <c r="M322" s="22">
        <v>2</v>
      </c>
      <c r="N322" s="18"/>
    </row>
    <row x14ac:dyDescent="0.25" r="323" customHeight="1" ht="18.75">
      <c r="A323" s="4" t="s">
        <v>472</v>
      </c>
      <c r="B323" s="22">
        <v>75000</v>
      </c>
      <c r="C323" s="19"/>
      <c r="D323" s="18"/>
      <c r="E323" s="20"/>
      <c r="F323" s="20"/>
      <c r="G323" s="20" t="s">
        <v>473</v>
      </c>
      <c r="H323" s="20" t="s">
        <v>474</v>
      </c>
      <c r="I323" s="19"/>
      <c r="J323" s="20"/>
      <c r="K323" s="20"/>
      <c r="L323" s="21"/>
      <c r="M323" s="22">
        <v>1</v>
      </c>
      <c r="N323" s="23">
        <f>188322.65+10000</f>
      </c>
    </row>
    <row x14ac:dyDescent="0.25" r="324" customHeight="1" ht="18.75">
      <c r="A324" s="4" t="s">
        <v>475</v>
      </c>
      <c r="B324" s="22">
        <v>920000</v>
      </c>
      <c r="C324" s="23">
        <f>865645.44+4382.95</f>
      </c>
      <c r="D324" s="22">
        <v>1556000</v>
      </c>
      <c r="E324" s="22">
        <v>390</v>
      </c>
      <c r="F324" s="22">
        <v>2500000</v>
      </c>
      <c r="G324" s="20"/>
      <c r="H324" s="20"/>
      <c r="I324" s="19"/>
      <c r="J324" s="20"/>
      <c r="K324" s="22">
        <v>200000</v>
      </c>
      <c r="L324" s="21"/>
      <c r="M324" s="22">
        <v>3</v>
      </c>
      <c r="N324" s="18"/>
    </row>
    <row x14ac:dyDescent="0.25" r="325" customHeight="1" ht="18.75">
      <c r="A325" s="4" t="s">
        <v>476</v>
      </c>
      <c r="B325" s="22">
        <v>13651</v>
      </c>
      <c r="C325" s="23">
        <f>24421.8</f>
      </c>
      <c r="D325" s="18"/>
      <c r="E325" s="20" t="s">
        <v>477</v>
      </c>
      <c r="F325" s="20" t="s">
        <v>478</v>
      </c>
      <c r="G325" s="20" t="s">
        <v>479</v>
      </c>
      <c r="H325" s="20" t="s">
        <v>455</v>
      </c>
      <c r="I325" s="19"/>
      <c r="J325" s="20"/>
      <c r="K325" s="22">
        <v>50000</v>
      </c>
      <c r="L325" s="21"/>
      <c r="M325" s="22">
        <v>2</v>
      </c>
      <c r="N325" s="23">
        <f>59982.25</f>
      </c>
    </row>
    <row x14ac:dyDescent="0.25" r="326" customHeight="1" ht="18.75">
      <c r="A326" s="4" t="s">
        <v>480</v>
      </c>
      <c r="B326" s="22">
        <v>26000</v>
      </c>
      <c r="C326" s="19"/>
      <c r="D326" s="18"/>
      <c r="E326" s="22">
        <v>100</v>
      </c>
      <c r="F326" s="22">
        <v>500000</v>
      </c>
      <c r="G326" s="20"/>
      <c r="H326" s="20"/>
      <c r="I326" s="19"/>
      <c r="J326" s="20"/>
      <c r="K326" s="22">
        <f>250000+20000</f>
      </c>
      <c r="L326" s="21"/>
      <c r="M326" s="22">
        <v>2</v>
      </c>
      <c r="N326" s="22">
        <v>20000</v>
      </c>
    </row>
    <row x14ac:dyDescent="0.25" r="327" customHeight="1" ht="18.75">
      <c r="A327" s="4" t="s">
        <v>481</v>
      </c>
      <c r="B327" s="22">
        <v>70000</v>
      </c>
      <c r="C327" s="19"/>
      <c r="D327" s="18"/>
      <c r="E327" s="22">
        <v>171</v>
      </c>
      <c r="F327" s="22">
        <v>300000</v>
      </c>
      <c r="G327" s="20" t="s">
        <v>482</v>
      </c>
      <c r="H327" s="20" t="s">
        <v>483</v>
      </c>
      <c r="I327" s="19"/>
      <c r="J327" s="20"/>
      <c r="K327" s="22">
        <f>300000+750000+60000</f>
      </c>
      <c r="L327" s="21"/>
      <c r="M327" s="22">
        <v>2</v>
      </c>
      <c r="N327" s="23">
        <f>89719.54+90028.52+640000</f>
      </c>
    </row>
    <row x14ac:dyDescent="0.25" r="328" customHeight="1" ht="18.75">
      <c r="A328" s="4" t="s">
        <v>484</v>
      </c>
      <c r="B328" s="22">
        <f>185425</f>
      </c>
      <c r="C328" s="23">
        <f>31.02</f>
      </c>
      <c r="D328" s="22">
        <f>4250+7445+5694</f>
      </c>
      <c r="E328" s="20"/>
      <c r="F328" s="20"/>
      <c r="G328" s="20" t="s">
        <v>485</v>
      </c>
      <c r="H328" s="20" t="s">
        <v>486</v>
      </c>
      <c r="I328" s="19"/>
      <c r="J328" s="20"/>
      <c r="K328" s="22">
        <f>48000</f>
      </c>
      <c r="L328" s="21"/>
      <c r="M328" s="22">
        <v>5</v>
      </c>
      <c r="N328" s="18"/>
    </row>
    <row x14ac:dyDescent="0.25" r="329" customHeight="1" ht="18.75">
      <c r="A329" s="4" t="s">
        <v>487</v>
      </c>
      <c r="B329" s="22">
        <v>250000</v>
      </c>
      <c r="C329" s="23">
        <f>105.19</f>
      </c>
      <c r="D329" s="18"/>
      <c r="E329" s="20"/>
      <c r="F329" s="20"/>
      <c r="G329" s="22">
        <v>68</v>
      </c>
      <c r="H329" s="22">
        <v>480000</v>
      </c>
      <c r="I329" s="19"/>
      <c r="J329" s="20"/>
      <c r="K329" s="22">
        <v>40000</v>
      </c>
      <c r="L329" s="21"/>
      <c r="M329" s="22">
        <v>1</v>
      </c>
      <c r="N329" s="23">
        <v>111437.11</v>
      </c>
    </row>
    <row x14ac:dyDescent="0.25" r="330" customHeight="1" ht="18.75">
      <c r="A330" s="4" t="s">
        <v>488</v>
      </c>
      <c r="B330" s="22">
        <v>257000</v>
      </c>
      <c r="C330" s="19"/>
      <c r="D330" s="18"/>
      <c r="E330" s="22">
        <v>182</v>
      </c>
      <c r="F330" s="22">
        <v>400000</v>
      </c>
      <c r="G330" s="20"/>
      <c r="H330" s="20"/>
      <c r="I330" s="19"/>
      <c r="J330" s="20"/>
      <c r="K330" s="22">
        <v>5000</v>
      </c>
      <c r="L330" s="21"/>
      <c r="M330" s="22">
        <v>1</v>
      </c>
      <c r="N330" s="18"/>
    </row>
    <row x14ac:dyDescent="0.25" r="331" customHeight="1" ht="18.75">
      <c r="A331" s="4" t="s">
        <v>489</v>
      </c>
      <c r="B331" s="22">
        <v>36000</v>
      </c>
      <c r="C331" s="23">
        <v>14003.09</v>
      </c>
      <c r="D331" s="18"/>
      <c r="E331" s="20"/>
      <c r="F331" s="20"/>
      <c r="G331" s="23">
        <v>77.3</v>
      </c>
      <c r="H331" s="22">
        <v>270000</v>
      </c>
      <c r="I331" s="19"/>
      <c r="J331" s="20"/>
      <c r="K331" s="22">
        <f>19000</f>
      </c>
      <c r="L331" s="21"/>
      <c r="M331" s="22">
        <v>2</v>
      </c>
      <c r="N331" s="18"/>
    </row>
    <row x14ac:dyDescent="0.25" r="332" customHeight="1" ht="18.75">
      <c r="A332" s="4" t="s">
        <v>490</v>
      </c>
      <c r="B332" s="23">
        <v>175.99</v>
      </c>
      <c r="C332" s="23">
        <v>115.73</v>
      </c>
      <c r="D332" s="23">
        <v>23278.1</v>
      </c>
      <c r="E332" s="20"/>
      <c r="F332" s="20"/>
      <c r="G332" s="23">
        <v>49.7</v>
      </c>
      <c r="H332" s="22">
        <v>350000</v>
      </c>
      <c r="I332" s="19"/>
      <c r="J332" s="20"/>
      <c r="K332" s="22">
        <v>75000</v>
      </c>
      <c r="L332" s="21"/>
      <c r="M332" s="22">
        <v>2</v>
      </c>
      <c r="N332" s="23">
        <f>12375.81+16445.81</f>
      </c>
    </row>
    <row x14ac:dyDescent="0.25" r="333" customHeight="1" ht="18.75">
      <c r="A333" s="4" t="s">
        <v>491</v>
      </c>
      <c r="B333" s="22">
        <v>10000</v>
      </c>
      <c r="C333" s="19"/>
      <c r="D333" s="18"/>
      <c r="E333" s="23">
        <v>256.4</v>
      </c>
      <c r="F333" s="22">
        <v>500000</v>
      </c>
      <c r="G333" s="20"/>
      <c r="H333" s="20"/>
      <c r="I333" s="19"/>
      <c r="J333" s="20"/>
      <c r="K333" s="20"/>
      <c r="L333" s="21"/>
      <c r="M333" s="22">
        <v>2</v>
      </c>
      <c r="N333" s="22">
        <f>39100</f>
      </c>
    </row>
    <row x14ac:dyDescent="0.25" r="334" customHeight="1" ht="18.75">
      <c r="A334" s="4" t="s">
        <v>492</v>
      </c>
      <c r="B334" s="22">
        <v>30636</v>
      </c>
      <c r="C334" s="19"/>
      <c r="D334" s="18"/>
      <c r="E334" s="20" t="s">
        <v>493</v>
      </c>
      <c r="F334" s="20" t="s">
        <v>494</v>
      </c>
      <c r="G334" s="20"/>
      <c r="H334" s="20"/>
      <c r="I334" s="23">
        <f>1.1+0.85+0.17+1.1</f>
      </c>
      <c r="J334" s="22">
        <v>330000</v>
      </c>
      <c r="K334" s="22">
        <f>50000+7000+8900+2600+70000+50000+16000+5000</f>
      </c>
      <c r="L334" s="21"/>
      <c r="M334" s="22">
        <v>3</v>
      </c>
      <c r="N334" s="23">
        <f>221394.73+151230.55+27775</f>
      </c>
    </row>
    <row x14ac:dyDescent="0.25" r="335" customHeight="1" ht="18.75">
      <c r="A335" s="4" t="s">
        <v>495</v>
      </c>
      <c r="B335" s="22">
        <v>165000</v>
      </c>
      <c r="C335" s="23">
        <f>442.68</f>
      </c>
      <c r="D335" s="22">
        <v>265226</v>
      </c>
      <c r="E335" s="23">
        <v>198.93</v>
      </c>
      <c r="F335" s="22">
        <v>400000</v>
      </c>
      <c r="G335" s="22">
        <v>60</v>
      </c>
      <c r="H335" s="22">
        <v>220000</v>
      </c>
      <c r="I335" s="19"/>
      <c r="J335" s="20"/>
      <c r="K335" s="20"/>
      <c r="L335" s="21"/>
      <c r="M335" s="22">
        <v>1</v>
      </c>
      <c r="N335" s="23">
        <f>63142.67+159873.01+173328</f>
      </c>
    </row>
    <row x14ac:dyDescent="0.25" r="336" customHeight="1" ht="18.75">
      <c r="A336" s="4" t="s">
        <v>496</v>
      </c>
      <c r="B336" s="23">
        <f>21941.69+30000+38396.78</f>
      </c>
      <c r="C336" s="19"/>
      <c r="D336" s="23">
        <v>4077.69</v>
      </c>
      <c r="E336" s="20" t="s">
        <v>497</v>
      </c>
      <c r="F336" s="20" t="s">
        <v>498</v>
      </c>
      <c r="G336" s="20" t="s">
        <v>499</v>
      </c>
      <c r="H336" s="20" t="s">
        <v>500</v>
      </c>
      <c r="I336" s="19"/>
      <c r="J336" s="20"/>
      <c r="K336" s="22">
        <v>25000</v>
      </c>
      <c r="L336" s="21"/>
      <c r="M336" s="22">
        <v>1</v>
      </c>
      <c r="N336" s="23">
        <f>320653.03+15000</f>
      </c>
    </row>
    <row x14ac:dyDescent="0.25" r="337" customHeight="1" ht="18.75">
      <c r="A337" s="4" t="s">
        <v>501</v>
      </c>
      <c r="B337" s="22">
        <v>95000</v>
      </c>
      <c r="C337" s="19"/>
      <c r="D337" s="22">
        <v>127000</v>
      </c>
      <c r="E337" s="23">
        <v>187.1</v>
      </c>
      <c r="F337" s="22">
        <v>350000</v>
      </c>
      <c r="G337" s="20"/>
      <c r="H337" s="20"/>
      <c r="I337" s="19"/>
      <c r="J337" s="20"/>
      <c r="K337" s="22">
        <f>450000+750000</f>
      </c>
      <c r="L337" s="21"/>
      <c r="M337" s="22">
        <v>1</v>
      </c>
      <c r="N337" s="23">
        <f>133686.94+78435.67</f>
      </c>
    </row>
    <row x14ac:dyDescent="0.25" r="338" customHeight="1" ht="18.75">
      <c r="A338" s="4" t="s">
        <v>502</v>
      </c>
      <c r="B338" s="22">
        <v>76000</v>
      </c>
      <c r="C338" s="19"/>
      <c r="D338" s="18"/>
      <c r="E338" s="22">
        <v>250</v>
      </c>
      <c r="F338" s="22">
        <v>370000</v>
      </c>
      <c r="G338" s="20"/>
      <c r="H338" s="20"/>
      <c r="I338" s="22">
        <v>4</v>
      </c>
      <c r="J338" s="22">
        <v>400000</v>
      </c>
      <c r="K338" s="20"/>
      <c r="L338" s="21"/>
      <c r="M338" s="22">
        <v>3</v>
      </c>
      <c r="N338" s="18"/>
    </row>
    <row x14ac:dyDescent="0.25" r="339" customHeight="1" ht="18.75">
      <c r="A339" s="4" t="s">
        <v>503</v>
      </c>
      <c r="B339" s="22">
        <v>200000</v>
      </c>
      <c r="C339" s="23">
        <v>4397.66</v>
      </c>
      <c r="D339" s="18"/>
      <c r="E339" s="22">
        <v>240</v>
      </c>
      <c r="F339" s="22">
        <v>1200000</v>
      </c>
      <c r="G339" s="20" t="s">
        <v>504</v>
      </c>
      <c r="H339" s="20" t="s">
        <v>505</v>
      </c>
      <c r="I339" s="19"/>
      <c r="J339" s="22">
        <f>29000+30000</f>
      </c>
      <c r="K339" s="20"/>
      <c r="L339" s="21"/>
      <c r="M339" s="22">
        <v>1</v>
      </c>
      <c r="N339" s="18"/>
    </row>
    <row x14ac:dyDescent="0.25" r="340" customHeight="1" ht="18.75">
      <c r="A340" s="4" t="s">
        <v>506</v>
      </c>
      <c r="B340" s="23">
        <v>183.8</v>
      </c>
      <c r="C340" s="19"/>
      <c r="D340" s="18"/>
      <c r="E340" s="22">
        <v>156</v>
      </c>
      <c r="F340" s="22">
        <v>550000</v>
      </c>
      <c r="G340" s="20"/>
      <c r="H340" s="20"/>
      <c r="I340" s="19"/>
      <c r="J340" s="20"/>
      <c r="K340" s="20"/>
      <c r="L340" s="21"/>
      <c r="M340" s="22">
        <v>2</v>
      </c>
      <c r="N340" s="23">
        <f>366461.75+19484.63+3623.35</f>
      </c>
    </row>
    <row x14ac:dyDescent="0.25" r="341" customHeight="1" ht="18.75">
      <c r="A341" s="4" t="s">
        <v>507</v>
      </c>
      <c r="B341" s="22">
        <v>31000</v>
      </c>
      <c r="C341" s="19"/>
      <c r="D341" s="18"/>
      <c r="E341" s="20"/>
      <c r="F341" s="20"/>
      <c r="G341" s="22">
        <v>110</v>
      </c>
      <c r="H341" s="22">
        <v>250000</v>
      </c>
      <c r="I341" s="19"/>
      <c r="J341" s="20"/>
      <c r="K341" s="22">
        <v>110000</v>
      </c>
      <c r="L341" s="21"/>
      <c r="M341" s="22">
        <v>1</v>
      </c>
      <c r="N341" s="22">
        <v>35000</v>
      </c>
    </row>
    <row x14ac:dyDescent="0.25" r="342" customHeight="1" ht="18.75">
      <c r="A342" s="4" t="s">
        <v>508</v>
      </c>
      <c r="B342" s="22">
        <v>6000</v>
      </c>
      <c r="C342" s="19"/>
      <c r="D342" s="18"/>
      <c r="E342" s="20"/>
      <c r="F342" s="20"/>
      <c r="G342" s="20"/>
      <c r="H342" s="20"/>
      <c r="I342" s="19"/>
      <c r="J342" s="20"/>
      <c r="K342" s="20"/>
      <c r="L342" s="21"/>
      <c r="M342" s="22">
        <v>0</v>
      </c>
      <c r="N342" s="23">
        <f>100000*64/120</f>
      </c>
    </row>
    <row x14ac:dyDescent="0.25" r="343" customHeight="1" ht="18.75">
      <c r="A343" s="4" t="s">
        <v>509</v>
      </c>
      <c r="B343" s="22">
        <v>163437</v>
      </c>
      <c r="C343" s="23">
        <f>109.57</f>
      </c>
      <c r="D343" s="18"/>
      <c r="E343" s="22">
        <v>280</v>
      </c>
      <c r="F343" s="22">
        <v>1000000</v>
      </c>
      <c r="G343" s="22">
        <v>113</v>
      </c>
      <c r="H343" s="22">
        <v>860000</v>
      </c>
      <c r="I343" s="19"/>
      <c r="J343" s="20"/>
      <c r="K343" s="22">
        <f>37000+80000</f>
      </c>
      <c r="L343" s="21"/>
      <c r="M343" s="22">
        <v>2</v>
      </c>
      <c r="N343" s="18"/>
    </row>
    <row x14ac:dyDescent="0.25" r="344" customHeight="1" ht="18.75">
      <c r="A344" s="4" t="s">
        <v>510</v>
      </c>
      <c r="B344" s="22">
        <v>87673</v>
      </c>
      <c r="C344" s="19"/>
      <c r="D344" s="18"/>
      <c r="E344" s="22">
        <v>270</v>
      </c>
      <c r="F344" s="22">
        <v>1200000</v>
      </c>
      <c r="G344" s="22">
        <v>67</v>
      </c>
      <c r="H344" s="22">
        <v>250000</v>
      </c>
      <c r="I344" s="19"/>
      <c r="J344" s="20"/>
      <c r="K344" s="20"/>
      <c r="L344" s="21"/>
      <c r="M344" s="22">
        <v>2</v>
      </c>
      <c r="N344" s="23">
        <f>105191.28</f>
      </c>
    </row>
    <row x14ac:dyDescent="0.25" r="345" customHeight="1" ht="18.75">
      <c r="A345" s="4" t="s">
        <v>511</v>
      </c>
      <c r="B345" s="22">
        <v>312000</v>
      </c>
      <c r="C345" s="23">
        <f>1027664.64+1532.62+17531.8</f>
      </c>
      <c r="D345" s="23">
        <f>649650.7+684517.23+315436+94481+180823</f>
      </c>
      <c r="E345" s="22">
        <v>130</v>
      </c>
      <c r="F345" s="22">
        <v>525000</v>
      </c>
      <c r="G345" s="20" t="s">
        <v>512</v>
      </c>
      <c r="H345" s="20" t="s">
        <v>513</v>
      </c>
      <c r="I345" s="23">
        <f>1.1038+0.13</f>
      </c>
      <c r="J345" s="22">
        <f>14685+87000</f>
      </c>
      <c r="K345" s="22">
        <f>70000+270000+168360</f>
      </c>
      <c r="L345" s="21"/>
      <c r="M345" s="22">
        <v>3</v>
      </c>
      <c r="N345" s="18"/>
    </row>
    <row x14ac:dyDescent="0.25" r="346" customHeight="1" ht="18.75">
      <c r="A346" s="4" t="s">
        <v>514</v>
      </c>
      <c r="B346" s="22">
        <v>50000</v>
      </c>
      <c r="C346" s="19"/>
      <c r="D346" s="18"/>
      <c r="E346" s="22">
        <v>150</v>
      </c>
      <c r="F346" s="22">
        <v>300000</v>
      </c>
      <c r="G346" s="20"/>
      <c r="H346" s="20"/>
      <c r="I346" s="23">
        <v>3.35</v>
      </c>
      <c r="J346" s="22">
        <v>165000</v>
      </c>
      <c r="K346" s="22">
        <v>60000</v>
      </c>
      <c r="L346" s="21"/>
      <c r="M346" s="22">
        <v>2</v>
      </c>
      <c r="N346" s="22">
        <v>25000</v>
      </c>
    </row>
    <row x14ac:dyDescent="0.25" r="347" customHeight="1" ht="18.75">
      <c r="A347" s="4" t="s">
        <v>515</v>
      </c>
      <c r="B347" s="22">
        <v>21400</v>
      </c>
      <c r="C347" s="19"/>
      <c r="D347" s="22">
        <f>16000+7600</f>
      </c>
      <c r="E347" s="22">
        <v>207</v>
      </c>
      <c r="F347" s="22">
        <v>800000</v>
      </c>
      <c r="G347" s="23">
        <v>56.5</v>
      </c>
      <c r="H347" s="22">
        <v>400000</v>
      </c>
      <c r="I347" s="19"/>
      <c r="J347" s="20"/>
      <c r="K347" s="20"/>
      <c r="L347" s="21"/>
      <c r="M347" s="22">
        <v>1</v>
      </c>
      <c r="N347" s="22">
        <v>40000</v>
      </c>
    </row>
    <row x14ac:dyDescent="0.25" r="348" customHeight="1" ht="18.75">
      <c r="A348" s="4" t="s">
        <v>516</v>
      </c>
      <c r="B348" s="22">
        <f>227500+635200</f>
      </c>
      <c r="C348" s="19"/>
      <c r="D348" s="18"/>
      <c r="E348" s="23">
        <v>211.75</v>
      </c>
      <c r="F348" s="22">
        <v>950000</v>
      </c>
      <c r="G348" s="20"/>
      <c r="H348" s="20"/>
      <c r="I348" s="19"/>
      <c r="J348" s="20"/>
      <c r="K348" s="20"/>
      <c r="L348" s="21"/>
      <c r="M348" s="22">
        <v>0</v>
      </c>
      <c r="N348" s="23">
        <f>293123.77+35700</f>
      </c>
    </row>
    <row x14ac:dyDescent="0.25" r="349" customHeight="1" ht="18.75">
      <c r="A349" s="4" t="s">
        <v>517</v>
      </c>
      <c r="B349" s="22">
        <v>687965</v>
      </c>
      <c r="C349" s="23">
        <f>514850.73</f>
      </c>
      <c r="D349" s="22">
        <f>287351</f>
      </c>
      <c r="E349" s="20"/>
      <c r="F349" s="20"/>
      <c r="G349" s="23">
        <v>94.9</v>
      </c>
      <c r="H349" s="22">
        <v>234000</v>
      </c>
      <c r="I349" s="23">
        <v>5.34</v>
      </c>
      <c r="J349" s="22">
        <v>1400000</v>
      </c>
      <c r="K349" s="22">
        <f>70000</f>
      </c>
      <c r="L349" s="22">
        <v>331500</v>
      </c>
      <c r="M349" s="22">
        <v>2</v>
      </c>
      <c r="N349" s="18"/>
    </row>
    <row x14ac:dyDescent="0.25" r="350" customHeight="1" ht="18.75">
      <c r="A350" s="4" t="s">
        <v>518</v>
      </c>
      <c r="B350" s="22">
        <v>20000</v>
      </c>
      <c r="C350" s="19"/>
      <c r="D350" s="18"/>
      <c r="E350" s="20"/>
      <c r="F350" s="20"/>
      <c r="G350" s="20" t="s">
        <v>519</v>
      </c>
      <c r="H350" s="20" t="s">
        <v>520</v>
      </c>
      <c r="I350" s="19"/>
      <c r="J350" s="20"/>
      <c r="K350" s="20"/>
      <c r="L350" s="21"/>
      <c r="M350" s="22">
        <v>0</v>
      </c>
      <c r="N350" s="23">
        <f>36736.59+173625.69+505621.16+12000</f>
      </c>
    </row>
    <row x14ac:dyDescent="0.25" r="351" customHeight="1" ht="18.75">
      <c r="A351" s="4" t="s">
        <v>521</v>
      </c>
      <c r="B351" s="23">
        <v>2630.84</v>
      </c>
      <c r="C351" s="19"/>
      <c r="D351" s="18"/>
      <c r="E351" s="20"/>
      <c r="F351" s="20"/>
      <c r="G351" s="20" t="s">
        <v>522</v>
      </c>
      <c r="H351" s="20" t="s">
        <v>523</v>
      </c>
      <c r="I351" s="19"/>
      <c r="J351" s="20"/>
      <c r="K351" s="20"/>
      <c r="L351" s="21"/>
      <c r="M351" s="22">
        <v>1</v>
      </c>
      <c r="N351" s="22">
        <v>230000</v>
      </c>
    </row>
    <row x14ac:dyDescent="0.25" r="352" customHeight="1" ht="18.75">
      <c r="A352" s="4" t="s">
        <v>524</v>
      </c>
      <c r="B352" s="23">
        <v>111517.12</v>
      </c>
      <c r="C352" s="19"/>
      <c r="D352" s="18"/>
      <c r="E352" s="22">
        <v>360</v>
      </c>
      <c r="F352" s="22">
        <v>1200000</v>
      </c>
      <c r="G352" s="20"/>
      <c r="H352" s="20"/>
      <c r="I352" s="19"/>
      <c r="J352" s="20"/>
      <c r="K352" s="22">
        <v>400000</v>
      </c>
      <c r="L352" s="21"/>
      <c r="M352" s="22">
        <v>0</v>
      </c>
      <c r="N352" s="22">
        <f>250000+142435</f>
      </c>
    </row>
    <row x14ac:dyDescent="0.25" r="353" customHeight="1" ht="18.75">
      <c r="A353" s="4" t="s">
        <v>525</v>
      </c>
      <c r="B353" s="22">
        <v>160000</v>
      </c>
      <c r="C353" s="19"/>
      <c r="D353" s="22">
        <v>12300</v>
      </c>
      <c r="E353" s="22">
        <v>140</v>
      </c>
      <c r="F353" s="22">
        <v>500000</v>
      </c>
      <c r="G353" s="20"/>
      <c r="H353" s="20"/>
      <c r="I353" s="19"/>
      <c r="J353" s="20"/>
      <c r="K353" s="22">
        <v>150000</v>
      </c>
      <c r="L353" s="21"/>
      <c r="M353" s="22">
        <v>1</v>
      </c>
      <c r="N353" s="18"/>
    </row>
    <row x14ac:dyDescent="0.25" r="354" customHeight="1" ht="18.75">
      <c r="A354" s="4" t="s">
        <v>526</v>
      </c>
      <c r="B354" s="23">
        <v>55974.7</v>
      </c>
      <c r="C354" s="19"/>
      <c r="D354" s="18"/>
      <c r="E354" s="22">
        <v>125</v>
      </c>
      <c r="F354" s="22">
        <v>450000</v>
      </c>
      <c r="G354" s="20"/>
      <c r="H354" s="20"/>
      <c r="I354" s="19"/>
      <c r="J354" s="20"/>
      <c r="K354" s="22">
        <v>100000</v>
      </c>
      <c r="L354" s="21"/>
      <c r="M354" s="22">
        <v>1</v>
      </c>
      <c r="N354" s="22">
        <f>27000+17850</f>
      </c>
    </row>
    <row x14ac:dyDescent="0.25" r="355" customHeight="1" ht="18.75">
      <c r="A355" s="4" t="s">
        <v>527</v>
      </c>
      <c r="B355" s="22">
        <v>10000</v>
      </c>
      <c r="C355" s="19"/>
      <c r="D355" s="18"/>
      <c r="E355" s="23">
        <v>162.8</v>
      </c>
      <c r="F355" s="22">
        <v>420000</v>
      </c>
      <c r="G355" s="20"/>
      <c r="H355" s="20"/>
      <c r="I355" s="19"/>
      <c r="J355" s="20"/>
      <c r="K355" s="22">
        <f>10000</f>
      </c>
      <c r="L355" s="21"/>
      <c r="M355" s="22">
        <v>3</v>
      </c>
      <c r="N355" s="23">
        <f>104289.79</f>
      </c>
    </row>
    <row x14ac:dyDescent="0.25" r="356" customHeight="1" ht="18.75">
      <c r="A356" s="4" t="s">
        <v>528</v>
      </c>
      <c r="B356" s="23">
        <v>147651.7</v>
      </c>
      <c r="C356" s="23">
        <f>6683.71</f>
      </c>
      <c r="D356" s="18"/>
      <c r="E356" s="20" t="s">
        <v>529</v>
      </c>
      <c r="F356" s="20" t="s">
        <v>530</v>
      </c>
      <c r="G356" s="22">
        <v>86</v>
      </c>
      <c r="H356" s="22">
        <v>300000</v>
      </c>
      <c r="I356" s="19"/>
      <c r="J356" s="20"/>
      <c r="K356" s="22">
        <f>217000</f>
      </c>
      <c r="L356" s="21"/>
      <c r="M356" s="22">
        <v>1</v>
      </c>
      <c r="N356" s="23">
        <f>58963.29+111845.8</f>
      </c>
    </row>
    <row x14ac:dyDescent="0.25" r="357" customHeight="1" ht="18.75">
      <c r="A357" s="4" t="s">
        <v>531</v>
      </c>
      <c r="B357" s="22">
        <v>10000</v>
      </c>
      <c r="C357" s="19"/>
      <c r="D357" s="18"/>
      <c r="E357" s="20"/>
      <c r="F357" s="20"/>
      <c r="G357" s="20"/>
      <c r="H357" s="20"/>
      <c r="I357" s="19"/>
      <c r="J357" s="20"/>
      <c r="K357" s="20"/>
      <c r="L357" s="21"/>
      <c r="M357" s="22">
        <v>1</v>
      </c>
      <c r="N357" s="23">
        <f>22100.15</f>
      </c>
    </row>
    <row x14ac:dyDescent="0.25" r="358" customHeight="1" ht="18.75">
      <c r="A358" s="4" t="s">
        <v>532</v>
      </c>
      <c r="B358" s="22">
        <v>60000</v>
      </c>
      <c r="C358" s="19"/>
      <c r="D358" s="18"/>
      <c r="E358" s="23">
        <v>147.5</v>
      </c>
      <c r="F358" s="22">
        <v>650000</v>
      </c>
      <c r="G358" s="22">
        <v>28</v>
      </c>
      <c r="H358" s="22">
        <v>200000</v>
      </c>
      <c r="I358" s="19"/>
      <c r="J358" s="20"/>
      <c r="K358" s="20"/>
      <c r="L358" s="21"/>
      <c r="M358" s="22">
        <v>1</v>
      </c>
      <c r="N358" s="23">
        <f>73647.1+2752+30000+13861.88+80000</f>
      </c>
    </row>
    <row x14ac:dyDescent="0.25" r="359" customHeight="1" ht="18.75">
      <c r="A359" s="4" t="s">
        <v>533</v>
      </c>
      <c r="B359" s="23">
        <v>846942.14</v>
      </c>
      <c r="C359" s="23">
        <f>2777.47</f>
      </c>
      <c r="D359" s="18"/>
      <c r="E359" s="20" t="s">
        <v>534</v>
      </c>
      <c r="F359" s="20" t="s">
        <v>535</v>
      </c>
      <c r="G359" s="20" t="s">
        <v>536</v>
      </c>
      <c r="H359" s="20" t="s">
        <v>537</v>
      </c>
      <c r="I359" s="23">
        <v>11.45</v>
      </c>
      <c r="J359" s="22">
        <v>250000</v>
      </c>
      <c r="K359" s="22">
        <f>350000</f>
      </c>
      <c r="L359" s="21"/>
      <c r="M359" s="22">
        <v>2</v>
      </c>
      <c r="N359" s="22">
        <v>10110</v>
      </c>
    </row>
    <row x14ac:dyDescent="0.25" r="360" customHeight="1" ht="18.75">
      <c r="A360" s="4" t="s">
        <v>538</v>
      </c>
      <c r="B360" s="22">
        <v>50000</v>
      </c>
      <c r="C360" s="23">
        <f>254601.6</f>
      </c>
      <c r="D360" s="23">
        <f>50812+46291.2</f>
      </c>
      <c r="E360" s="20"/>
      <c r="F360" s="20"/>
      <c r="G360" s="22">
        <v>17</v>
      </c>
      <c r="H360" s="22">
        <v>200000</v>
      </c>
      <c r="I360" s="19"/>
      <c r="J360" s="20"/>
      <c r="K360" s="22">
        <f>90000+8000+4500+5000+3500+18000+10000</f>
      </c>
      <c r="L360" s="21"/>
      <c r="M360" s="22">
        <v>1</v>
      </c>
      <c r="N360" s="22">
        <f>36000+15000+20140</f>
      </c>
    </row>
    <row x14ac:dyDescent="0.25" r="361" customHeight="1" ht="18.75">
      <c r="A361" s="4" t="s">
        <v>539</v>
      </c>
      <c r="B361" s="23">
        <v>3627.01</v>
      </c>
      <c r="C361" s="19"/>
      <c r="D361" s="23">
        <v>1898131.78</v>
      </c>
      <c r="E361" s="23">
        <v>116.28</v>
      </c>
      <c r="F361" s="22">
        <v>540000</v>
      </c>
      <c r="G361" s="20"/>
      <c r="H361" s="20"/>
      <c r="I361" s="19"/>
      <c r="J361" s="20"/>
      <c r="K361" s="23">
        <f>971224.46</f>
      </c>
      <c r="L361" s="21"/>
      <c r="M361" s="22">
        <v>0</v>
      </c>
      <c r="N361" s="22">
        <f>44249+20000+250000+5700000+600000+18000000</f>
      </c>
    </row>
    <row x14ac:dyDescent="0.25" r="362" customHeight="1" ht="18.75">
      <c r="A362" s="4" t="s">
        <v>540</v>
      </c>
      <c r="B362" s="22">
        <v>350000</v>
      </c>
      <c r="C362" s="23">
        <f>162019.2</f>
      </c>
      <c r="D362" s="18"/>
      <c r="E362" s="20"/>
      <c r="F362" s="20"/>
      <c r="G362" s="22">
        <v>54</v>
      </c>
      <c r="H362" s="22">
        <v>200000</v>
      </c>
      <c r="I362" s="19"/>
      <c r="J362" s="20"/>
      <c r="K362" s="20"/>
      <c r="L362" s="21"/>
      <c r="M362" s="22">
        <v>1</v>
      </c>
      <c r="N362" s="18"/>
    </row>
    <row x14ac:dyDescent="0.25" r="363" customHeight="1" ht="18.75">
      <c r="A363" s="4" t="s">
        <v>541</v>
      </c>
      <c r="B363" s="22">
        <v>21000</v>
      </c>
      <c r="C363" s="23">
        <v>231.46</v>
      </c>
      <c r="D363" s="18"/>
      <c r="E363" s="20" t="s">
        <v>542</v>
      </c>
      <c r="F363" s="20" t="s">
        <v>543</v>
      </c>
      <c r="G363" s="20"/>
      <c r="H363" s="20"/>
      <c r="I363" s="19"/>
      <c r="J363" s="20"/>
      <c r="K363" s="22">
        <f>70000+40000+160000+60000+30000</f>
      </c>
      <c r="L363" s="21"/>
      <c r="M363" s="22">
        <v>2</v>
      </c>
      <c r="N363" s="23">
        <f>171038.88+40000+17850</f>
      </c>
    </row>
    <row x14ac:dyDescent="0.25" r="364" customHeight="1" ht="18.75">
      <c r="A364" s="4" t="s">
        <v>544</v>
      </c>
      <c r="B364" s="22">
        <f>22500+30000+84000</f>
      </c>
      <c r="C364" s="19"/>
      <c r="D364" s="18"/>
      <c r="E364" s="22">
        <v>130</v>
      </c>
      <c r="F364" s="22">
        <v>530000</v>
      </c>
      <c r="G364" s="23">
        <v>55.8</v>
      </c>
      <c r="H364" s="22">
        <v>260000</v>
      </c>
      <c r="I364" s="19"/>
      <c r="J364" s="20"/>
      <c r="K364" s="20"/>
      <c r="L364" s="21"/>
      <c r="M364" s="22">
        <v>3</v>
      </c>
      <c r="N364" s="22">
        <f>10000+96000+25000</f>
      </c>
    </row>
    <row x14ac:dyDescent="0.25" r="365" customHeight="1" ht="18.75">
      <c r="A365" s="4" t="s">
        <v>545</v>
      </c>
      <c r="B365" s="22">
        <v>26700</v>
      </c>
      <c r="C365" s="19"/>
      <c r="D365" s="18"/>
      <c r="E365" s="22">
        <v>180</v>
      </c>
      <c r="F365" s="22">
        <v>350000</v>
      </c>
      <c r="G365" s="20"/>
      <c r="H365" s="20"/>
      <c r="I365" s="19"/>
      <c r="J365" s="20"/>
      <c r="K365" s="22">
        <f>120000</f>
      </c>
      <c r="L365" s="21"/>
      <c r="M365" s="22">
        <v>0</v>
      </c>
      <c r="N365" s="23">
        <f>140866.48+10110</f>
      </c>
    </row>
    <row x14ac:dyDescent="0.25" r="366" customHeight="1" ht="18.75">
      <c r="A366" s="4" t="s">
        <v>546</v>
      </c>
      <c r="B366" s="22">
        <v>235000</v>
      </c>
      <c r="C366" s="23">
        <f>925.82+3506.36</f>
      </c>
      <c r="D366" s="18"/>
      <c r="E366" s="23">
        <v>208.67</v>
      </c>
      <c r="F366" s="22">
        <v>550000</v>
      </c>
      <c r="G366" s="20" t="s">
        <v>547</v>
      </c>
      <c r="H366" s="20" t="s">
        <v>548</v>
      </c>
      <c r="I366" s="19"/>
      <c r="J366" s="20"/>
      <c r="K366" s="20"/>
      <c r="L366" s="21"/>
      <c r="M366" s="22">
        <v>0</v>
      </c>
      <c r="N366" s="23">
        <f>244735.37+109663.85+439997.86+358650+12000</f>
      </c>
    </row>
    <row x14ac:dyDescent="0.25" r="367" customHeight="1" ht="18.75">
      <c r="A367" s="4" t="s">
        <v>549</v>
      </c>
      <c r="B367" s="22">
        <v>15000</v>
      </c>
      <c r="C367" s="19"/>
      <c r="D367" s="18"/>
      <c r="E367" s="22">
        <v>167</v>
      </c>
      <c r="F367" s="22">
        <v>870000</v>
      </c>
      <c r="G367" s="20"/>
      <c r="H367" s="20"/>
      <c r="I367" s="19"/>
      <c r="J367" s="20"/>
      <c r="K367" s="20"/>
      <c r="L367" s="21"/>
      <c r="M367" s="22">
        <v>0</v>
      </c>
      <c r="N367" s="22">
        <f>3000+50000+503000+17850</f>
      </c>
    </row>
    <row x14ac:dyDescent="0.25" r="368" customHeight="1" ht="18.75">
      <c r="A368" s="4" t="s">
        <v>550</v>
      </c>
      <c r="B368" s="22">
        <v>84000</v>
      </c>
      <c r="C368" s="19"/>
      <c r="D368" s="18"/>
      <c r="E368" s="22">
        <v>240</v>
      </c>
      <c r="F368" s="22">
        <v>855000</v>
      </c>
      <c r="G368" s="23">
        <v>61.6</v>
      </c>
      <c r="H368" s="22">
        <v>250000</v>
      </c>
      <c r="I368" s="19"/>
      <c r="J368" s="20"/>
      <c r="K368" s="22">
        <f>127000</f>
      </c>
      <c r="L368" s="21"/>
      <c r="M368" s="22">
        <v>2</v>
      </c>
      <c r="N368" s="22">
        <f>679000</f>
      </c>
    </row>
    <row x14ac:dyDescent="0.25" r="369" customHeight="1" ht="18.75">
      <c r="A369" s="4" t="s">
        <v>551</v>
      </c>
      <c r="B369" s="23">
        <v>9070.76</v>
      </c>
      <c r="C369" s="19"/>
      <c r="D369" s="18"/>
      <c r="E369" s="20"/>
      <c r="F369" s="20"/>
      <c r="G369" s="20"/>
      <c r="H369" s="20"/>
      <c r="I369" s="19"/>
      <c r="J369" s="20"/>
      <c r="K369" s="20"/>
      <c r="L369" s="21"/>
      <c r="M369" s="22">
        <v>0</v>
      </c>
      <c r="N369" s="18"/>
    </row>
    <row x14ac:dyDescent="0.25" r="370" customHeight="1" ht="18.75">
      <c r="A370" s="4" t="s">
        <v>552</v>
      </c>
      <c r="B370" s="22">
        <f>9000+47000+84000</f>
      </c>
      <c r="C370" s="23">
        <f>69263.76</f>
      </c>
      <c r="D370" s="18"/>
      <c r="E370" s="22">
        <v>102</v>
      </c>
      <c r="F370" s="22">
        <v>350000</v>
      </c>
      <c r="G370" s="22">
        <v>74</v>
      </c>
      <c r="H370" s="20"/>
      <c r="I370" s="19"/>
      <c r="J370" s="20"/>
      <c r="K370" s="22">
        <f>75000+40000+50000+7000+8000</f>
      </c>
      <c r="L370" s="21"/>
      <c r="M370" s="22">
        <v>1</v>
      </c>
      <c r="N370" s="18"/>
    </row>
    <row x14ac:dyDescent="0.25" r="371" customHeight="1" ht="18.75">
      <c r="A371" s="4" t="s">
        <v>553</v>
      </c>
      <c r="B371" s="22">
        <v>211000</v>
      </c>
      <c r="C371" s="23">
        <f>7267.72+1354.33+82.1+1024.09+90.3+170.15+45.26+17.49+92.4+15.42</f>
      </c>
      <c r="D371" s="23">
        <f>59989.62+473.9+149.32+30.6</f>
      </c>
      <c r="E371" s="22">
        <v>140</v>
      </c>
      <c r="F371" s="22">
        <v>600000</v>
      </c>
      <c r="G371" s="20"/>
      <c r="H371" s="20"/>
      <c r="I371" s="19"/>
      <c r="J371" s="20"/>
      <c r="K371" s="22">
        <v>115000</v>
      </c>
      <c r="L371" s="21"/>
      <c r="M371" s="22">
        <v>2</v>
      </c>
      <c r="N371" s="23">
        <f>289961.93+23037.95</f>
      </c>
    </row>
    <row x14ac:dyDescent="0.25" r="372" customHeight="1" ht="18.75">
      <c r="A372" s="4" t="s">
        <v>554</v>
      </c>
      <c r="B372" s="23">
        <v>96970.27</v>
      </c>
      <c r="C372" s="23">
        <f>5832.69+1038.76+268.21</f>
      </c>
      <c r="D372" s="23">
        <v>70608.69</v>
      </c>
      <c r="E372" s="22">
        <v>100</v>
      </c>
      <c r="F372" s="22">
        <v>350000</v>
      </c>
      <c r="G372" s="20"/>
      <c r="H372" s="20"/>
      <c r="I372" s="19"/>
      <c r="J372" s="20"/>
      <c r="K372" s="20"/>
      <c r="L372" s="21"/>
      <c r="M372" s="22">
        <v>2</v>
      </c>
      <c r="N372" s="18"/>
    </row>
    <row x14ac:dyDescent="0.25" r="373" customHeight="1" ht="18.75">
      <c r="A373" s="4" t="s">
        <v>555</v>
      </c>
      <c r="B373" s="22">
        <v>130000</v>
      </c>
      <c r="C373" s="23">
        <f>55131.42+47175.92</f>
      </c>
      <c r="D373" s="18"/>
      <c r="E373" s="22">
        <v>182</v>
      </c>
      <c r="F373" s="22">
        <v>700000</v>
      </c>
      <c r="G373" s="23">
        <v>33.2</v>
      </c>
      <c r="H373" s="22">
        <v>127430</v>
      </c>
      <c r="I373" s="19"/>
      <c r="J373" s="20"/>
      <c r="K373" s="20"/>
      <c r="L373" s="21"/>
      <c r="M373" s="22">
        <v>1</v>
      </c>
      <c r="N373" s="23">
        <f>95418.53</f>
      </c>
    </row>
    <row x14ac:dyDescent="0.25" r="374" customHeight="1" ht="18.75">
      <c r="A374" s="4" t="s">
        <v>556</v>
      </c>
      <c r="B374" s="22">
        <f>250000+17000</f>
      </c>
      <c r="C374" s="23">
        <f>1378.29+10721.8</f>
      </c>
      <c r="D374" s="22">
        <v>901700</v>
      </c>
      <c r="E374" s="22">
        <v>165</v>
      </c>
      <c r="F374" s="22">
        <v>600000</v>
      </c>
      <c r="G374" s="20"/>
      <c r="H374" s="20"/>
      <c r="I374" s="19"/>
      <c r="J374" s="20"/>
      <c r="K374" s="20"/>
      <c r="L374" s="21"/>
      <c r="M374" s="22">
        <v>2</v>
      </c>
      <c r="N374" s="18"/>
    </row>
    <row x14ac:dyDescent="0.25" r="375" customHeight="1" ht="18.75">
      <c r="A375" s="4" t="s">
        <v>557</v>
      </c>
      <c r="B375" s="22">
        <v>298695</v>
      </c>
      <c r="C375" s="19"/>
      <c r="D375" s="18"/>
      <c r="E375" s="23">
        <v>203.04</v>
      </c>
      <c r="F375" s="22">
        <v>600000</v>
      </c>
      <c r="G375" s="20"/>
      <c r="H375" s="20"/>
      <c r="I375" s="19"/>
      <c r="J375" s="20"/>
      <c r="K375" s="22">
        <v>300000</v>
      </c>
      <c r="L375" s="21"/>
      <c r="M375" s="22">
        <v>2</v>
      </c>
      <c r="N375" s="23">
        <f>163903.96+26775</f>
      </c>
    </row>
    <row x14ac:dyDescent="0.25" r="376" customHeight="1" ht="18.75">
      <c r="A376" s="4" t="s">
        <v>558</v>
      </c>
      <c r="B376" s="23">
        <f>218000+372201.75</f>
      </c>
      <c r="C376" s="23">
        <f>13323.43+5146.46</f>
      </c>
      <c r="D376" s="18"/>
      <c r="E376" s="20"/>
      <c r="F376" s="20"/>
      <c r="G376" s="23">
        <v>51.01</v>
      </c>
      <c r="H376" s="22">
        <v>500000</v>
      </c>
      <c r="I376" s="19"/>
      <c r="J376" s="20"/>
      <c r="K376" s="20"/>
      <c r="L376" s="21"/>
      <c r="M376" s="22">
        <v>1</v>
      </c>
      <c r="N376" s="23">
        <f>221737.15+23800+300000</f>
      </c>
    </row>
    <row x14ac:dyDescent="0.25" r="377" customHeight="1" ht="18.75">
      <c r="A377" s="4" t="s">
        <v>559</v>
      </c>
      <c r="B377" s="22">
        <v>290000</v>
      </c>
      <c r="C377" s="23">
        <f>6891.43</f>
      </c>
      <c r="D377" s="23">
        <f>2241+1115.82+20075.95+3014.41</f>
      </c>
      <c r="E377" s="20"/>
      <c r="F377" s="20"/>
      <c r="G377" s="22">
        <v>64</v>
      </c>
      <c r="H377" s="22">
        <v>350000</v>
      </c>
      <c r="I377" s="19"/>
      <c r="J377" s="20"/>
      <c r="K377" s="20"/>
      <c r="L377" s="21"/>
      <c r="M377" s="22">
        <v>1</v>
      </c>
      <c r="N377" s="23">
        <f>15000+10000+20163+132964.12+676232+270080</f>
      </c>
    </row>
    <row x14ac:dyDescent="0.25" r="378" customHeight="1" ht="18.75">
      <c r="A378" s="4" t="s">
        <v>560</v>
      </c>
      <c r="B378" s="22">
        <v>156600</v>
      </c>
      <c r="C378" s="23">
        <f>4592+857.74+4454.19</f>
      </c>
      <c r="D378" s="23">
        <v>45615.87</v>
      </c>
      <c r="E378" s="23">
        <v>87.5</v>
      </c>
      <c r="F378" s="22">
        <v>350000</v>
      </c>
      <c r="G378" s="20"/>
      <c r="H378" s="20"/>
      <c r="I378" s="19"/>
      <c r="J378" s="20"/>
      <c r="K378" s="22">
        <v>109000</v>
      </c>
      <c r="L378" s="21"/>
      <c r="M378" s="22">
        <v>1</v>
      </c>
      <c r="N378" s="18"/>
    </row>
    <row x14ac:dyDescent="0.25" r="379" customHeight="1" ht="18.75">
      <c r="A379" s="4" t="s">
        <v>561</v>
      </c>
      <c r="B379" s="22">
        <v>3000</v>
      </c>
      <c r="C379" s="19"/>
      <c r="D379" s="18"/>
      <c r="E379" s="20"/>
      <c r="F379" s="20"/>
      <c r="G379" s="23">
        <v>86.4</v>
      </c>
      <c r="H379" s="22">
        <v>870000</v>
      </c>
      <c r="I379" s="19"/>
      <c r="J379" s="20"/>
      <c r="K379" s="22">
        <f>30000</f>
      </c>
      <c r="L379" s="21"/>
      <c r="M379" s="22">
        <v>1</v>
      </c>
      <c r="N379" s="23">
        <f>712684.68+20000</f>
      </c>
    </row>
    <row x14ac:dyDescent="0.25" r="380" customHeight="1" ht="18.75">
      <c r="A380" s="4" t="s">
        <v>562</v>
      </c>
      <c r="B380" s="22">
        <v>294900</v>
      </c>
      <c r="C380" s="19"/>
      <c r="D380" s="18"/>
      <c r="E380" s="22">
        <v>185</v>
      </c>
      <c r="F380" s="22">
        <v>1950000</v>
      </c>
      <c r="G380" s="20"/>
      <c r="H380" s="20"/>
      <c r="I380" s="19"/>
      <c r="J380" s="20"/>
      <c r="K380" s="20"/>
      <c r="L380" s="21"/>
      <c r="M380" s="22">
        <v>2</v>
      </c>
      <c r="N380" s="18"/>
    </row>
    <row x14ac:dyDescent="0.25" r="381" customHeight="1" ht="18.75">
      <c r="A381" s="4" t="s">
        <v>563</v>
      </c>
      <c r="B381" s="22">
        <v>35000</v>
      </c>
      <c r="C381" s="23">
        <f>219153.59+8265.6</f>
      </c>
      <c r="D381" s="23">
        <f>13091.69</f>
      </c>
      <c r="E381" s="20" t="s">
        <v>564</v>
      </c>
      <c r="F381" s="20" t="s">
        <v>565</v>
      </c>
      <c r="G381" s="23">
        <v>34.14</v>
      </c>
      <c r="H381" s="22">
        <v>340000</v>
      </c>
      <c r="I381" s="19"/>
      <c r="J381" s="20"/>
      <c r="K381" s="22">
        <f>740000+6000+34000+24700+80000</f>
      </c>
      <c r="L381" s="21"/>
      <c r="M381" s="22">
        <v>1</v>
      </c>
      <c r="N381" s="23">
        <f>56414.38</f>
      </c>
    </row>
    <row x14ac:dyDescent="0.25" r="382" customHeight="1" ht="18.75">
      <c r="A382" s="4" t="s">
        <v>566</v>
      </c>
      <c r="B382" s="22">
        <v>360000</v>
      </c>
      <c r="C382" s="19"/>
      <c r="D382" s="22">
        <v>15000</v>
      </c>
      <c r="E382" s="22">
        <v>198</v>
      </c>
      <c r="F382" s="22">
        <v>350000</v>
      </c>
      <c r="G382" s="22">
        <v>145</v>
      </c>
      <c r="H382" s="22">
        <v>280000</v>
      </c>
      <c r="I382" s="19"/>
      <c r="J382" s="20"/>
      <c r="K382" s="22">
        <v>70000</v>
      </c>
      <c r="L382" s="21"/>
      <c r="M382" s="22">
        <v>2</v>
      </c>
      <c r="N382" s="18"/>
    </row>
    <row x14ac:dyDescent="0.25" r="383" customHeight="1" ht="18.75">
      <c r="A383" s="4" t="s">
        <v>567</v>
      </c>
      <c r="B383" s="22">
        <v>45000</v>
      </c>
      <c r="C383" s="23">
        <f>45920+21443.6</f>
      </c>
      <c r="D383" s="22">
        <f>16700+3014</f>
      </c>
      <c r="E383" s="23">
        <v>106.47</v>
      </c>
      <c r="F383" s="22">
        <v>270000</v>
      </c>
      <c r="G383" s="20" t="s">
        <v>568</v>
      </c>
      <c r="H383" s="20" t="s">
        <v>569</v>
      </c>
      <c r="I383" s="19"/>
      <c r="J383" s="20"/>
      <c r="K383" s="20"/>
      <c r="L383" s="21"/>
      <c r="M383" s="22">
        <v>1</v>
      </c>
      <c r="N383" s="23">
        <v>121313.87</v>
      </c>
    </row>
    <row x14ac:dyDescent="0.25" r="384" customHeight="1" ht="18.75">
      <c r="A384" s="4" t="s">
        <v>570</v>
      </c>
      <c r="B384" s="22">
        <v>22000</v>
      </c>
      <c r="C384" s="23">
        <f>762.27</f>
      </c>
      <c r="D384" s="22">
        <f>26000+57000+140000+105000+64000+39000+65000+35000+70000+65000</f>
      </c>
      <c r="E384" s="22">
        <v>269</v>
      </c>
      <c r="F384" s="22">
        <v>600000</v>
      </c>
      <c r="G384" s="20" t="s">
        <v>571</v>
      </c>
      <c r="H384" s="22">
        <v>180000</v>
      </c>
      <c r="I384" s="19"/>
      <c r="J384" s="20"/>
      <c r="K384" s="20"/>
      <c r="L384" s="21"/>
      <c r="M384" s="22">
        <v>2</v>
      </c>
      <c r="N384" s="18"/>
    </row>
    <row x14ac:dyDescent="0.25" r="385" customHeight="1" ht="18.75">
      <c r="A385" s="4" t="s">
        <v>572</v>
      </c>
      <c r="B385" s="22">
        <v>10000</v>
      </c>
      <c r="C385" s="19"/>
      <c r="D385" s="18"/>
      <c r="E385" s="22">
        <v>120</v>
      </c>
      <c r="F385" s="22">
        <v>300000</v>
      </c>
      <c r="G385" s="23">
        <v>46.54</v>
      </c>
      <c r="H385" s="22">
        <v>226000</v>
      </c>
      <c r="I385" s="19"/>
      <c r="J385" s="20"/>
      <c r="K385" s="20"/>
      <c r="L385" s="21"/>
      <c r="M385" s="22">
        <v>1</v>
      </c>
      <c r="N385" s="22">
        <f>230000</f>
      </c>
    </row>
    <row x14ac:dyDescent="0.25" r="386" customHeight="1" ht="18.75">
      <c r="A386" s="4" t="s">
        <v>573</v>
      </c>
      <c r="B386" s="22">
        <v>136000</v>
      </c>
      <c r="C386" s="23">
        <f>111.51</f>
      </c>
      <c r="D386" s="22">
        <v>146000</v>
      </c>
      <c r="E386" s="22">
        <v>169</v>
      </c>
      <c r="F386" s="22">
        <v>500000</v>
      </c>
      <c r="G386" s="20"/>
      <c r="H386" s="20"/>
      <c r="I386" s="23">
        <v>0.405</v>
      </c>
      <c r="J386" s="22">
        <v>10000</v>
      </c>
      <c r="K386" s="22">
        <v>80000</v>
      </c>
      <c r="L386" s="21"/>
      <c r="M386" s="22">
        <v>1</v>
      </c>
      <c r="N386" s="18"/>
    </row>
    <row x14ac:dyDescent="0.25" r="387" customHeight="1" ht="18.75">
      <c r="A387" s="4" t="s">
        <v>574</v>
      </c>
      <c r="B387" s="23">
        <f>27229.67+27529.46</f>
      </c>
      <c r="C387" s="19"/>
      <c r="D387" s="23">
        <v>6518.5</v>
      </c>
      <c r="E387" s="23">
        <v>173.6</v>
      </c>
      <c r="F387" s="22">
        <v>416000</v>
      </c>
      <c r="G387" s="23">
        <v>58.2</v>
      </c>
      <c r="H387" s="22">
        <v>160000</v>
      </c>
      <c r="I387" s="19"/>
      <c r="J387" s="20"/>
      <c r="K387" s="22">
        <v>200000</v>
      </c>
      <c r="L387" s="21"/>
      <c r="M387" s="22">
        <v>1</v>
      </c>
      <c r="N387" s="23">
        <f>34042.86+17850</f>
      </c>
    </row>
    <row x14ac:dyDescent="0.25" r="388" customHeight="1" ht="18.75">
      <c r="A388" s="24" t="s">
        <v>575</v>
      </c>
      <c r="B388" s="18"/>
      <c r="C388" s="19"/>
      <c r="D388" s="18"/>
      <c r="E388" s="20"/>
      <c r="F388" s="20"/>
      <c r="G388" s="20"/>
      <c r="H388" s="20"/>
      <c r="I388" s="19"/>
      <c r="J388" s="20"/>
      <c r="K388" s="20"/>
      <c r="L388" s="21"/>
      <c r="M388" s="21"/>
      <c r="N388" s="18"/>
    </row>
    <row x14ac:dyDescent="0.25" r="389" customHeight="1" ht="18.75">
      <c r="A389" s="4" t="s">
        <v>576</v>
      </c>
      <c r="B389" s="22">
        <v>190000</v>
      </c>
      <c r="C389" s="19"/>
      <c r="D389" s="22">
        <v>61000</v>
      </c>
      <c r="E389" s="22">
        <v>223</v>
      </c>
      <c r="F389" s="22">
        <v>500000</v>
      </c>
      <c r="G389" s="23">
        <v>48.53</v>
      </c>
      <c r="H389" s="22">
        <v>150000</v>
      </c>
      <c r="I389" s="19"/>
      <c r="J389" s="20"/>
      <c r="K389" s="20"/>
      <c r="L389" s="21"/>
      <c r="M389" s="22">
        <v>1</v>
      </c>
      <c r="N389" s="18"/>
    </row>
    <row x14ac:dyDescent="0.25" r="390" customHeight="1" ht="18.75">
      <c r="A390" s="4" t="s">
        <v>577</v>
      </c>
      <c r="B390" s="18"/>
      <c r="C390" s="19"/>
      <c r="D390" s="18"/>
      <c r="E390" s="22">
        <v>220</v>
      </c>
      <c r="F390" s="22">
        <v>700000</v>
      </c>
      <c r="G390" s="20"/>
      <c r="H390" s="20"/>
      <c r="I390" s="19"/>
      <c r="J390" s="20"/>
      <c r="K390" s="20"/>
      <c r="L390" s="21"/>
      <c r="M390" s="22">
        <v>1</v>
      </c>
      <c r="N390" s="23">
        <f>29548.93+10841.86+30000+13506.15+25000</f>
      </c>
    </row>
    <row x14ac:dyDescent="0.25" r="391" customHeight="1" ht="18.75">
      <c r="A391" s="4" t="s">
        <v>578</v>
      </c>
      <c r="B391" s="22">
        <v>50000</v>
      </c>
      <c r="C391" s="19"/>
      <c r="D391" s="18"/>
      <c r="E391" s="22">
        <v>160</v>
      </c>
      <c r="F391" s="22">
        <v>390000</v>
      </c>
      <c r="G391" s="22">
        <v>38</v>
      </c>
      <c r="H391" s="22">
        <v>102000</v>
      </c>
      <c r="I391" s="19"/>
      <c r="J391" s="20"/>
      <c r="K391" s="22">
        <v>60000</v>
      </c>
      <c r="L391" s="21"/>
      <c r="M391" s="22">
        <v>2</v>
      </c>
      <c r="N391" s="23">
        <f>34211.8+27200</f>
      </c>
    </row>
    <row x14ac:dyDescent="0.25" r="392" customHeight="1" ht="18.75">
      <c r="A392" s="4" t="s">
        <v>579</v>
      </c>
      <c r="B392" s="22">
        <v>60000</v>
      </c>
      <c r="C392" s="23">
        <f>1561.28</f>
      </c>
      <c r="D392" s="18"/>
      <c r="E392" s="20"/>
      <c r="F392" s="20"/>
      <c r="G392" s="23">
        <v>48.27</v>
      </c>
      <c r="H392" s="22">
        <v>260000</v>
      </c>
      <c r="I392" s="19"/>
      <c r="J392" s="20"/>
      <c r="K392" s="22">
        <v>80000</v>
      </c>
      <c r="L392" s="21"/>
      <c r="M392" s="22">
        <v>1</v>
      </c>
      <c r="N392" s="22">
        <f>161000</f>
      </c>
    </row>
    <row x14ac:dyDescent="0.25" r="393" customHeight="1" ht="18.75">
      <c r="A393" s="4" t="s">
        <v>580</v>
      </c>
      <c r="B393" s="22">
        <v>5000</v>
      </c>
      <c r="C393" s="19"/>
      <c r="D393" s="18"/>
      <c r="E393" s="22">
        <v>123</v>
      </c>
      <c r="F393" s="22">
        <v>350000</v>
      </c>
      <c r="G393" s="20"/>
      <c r="H393" s="20"/>
      <c r="I393" s="19"/>
      <c r="J393" s="20"/>
      <c r="K393" s="20"/>
      <c r="L393" s="21"/>
      <c r="M393" s="22">
        <v>0</v>
      </c>
      <c r="N393" s="23">
        <v>200438.63</v>
      </c>
    </row>
    <row x14ac:dyDescent="0.25" r="394" customHeight="1" ht="18.75">
      <c r="A394" s="4" t="s">
        <v>581</v>
      </c>
      <c r="B394" s="23">
        <v>59663.14</v>
      </c>
      <c r="C394" s="19"/>
      <c r="D394" s="18"/>
      <c r="E394" s="20"/>
      <c r="F394" s="20"/>
      <c r="G394" s="20" t="s">
        <v>582</v>
      </c>
      <c r="H394" s="20" t="s">
        <v>583</v>
      </c>
      <c r="I394" s="19"/>
      <c r="J394" s="20"/>
      <c r="K394" s="20"/>
      <c r="L394" s="21"/>
      <c r="M394" s="22">
        <v>1</v>
      </c>
      <c r="N394" s="18"/>
    </row>
    <row x14ac:dyDescent="0.25" r="395" customHeight="1" ht="18.75">
      <c r="A395" s="4" t="s">
        <v>584</v>
      </c>
      <c r="B395" s="23">
        <v>39360.89</v>
      </c>
      <c r="C395" s="23">
        <f>2242.37+2787.67</f>
      </c>
      <c r="D395" s="18"/>
      <c r="E395" s="20"/>
      <c r="F395" s="20"/>
      <c r="G395" s="20" t="s">
        <v>585</v>
      </c>
      <c r="H395" s="20" t="s">
        <v>586</v>
      </c>
      <c r="I395" s="23">
        <v>2.97</v>
      </c>
      <c r="J395" s="22">
        <v>38610</v>
      </c>
      <c r="K395" s="20"/>
      <c r="L395" s="21"/>
      <c r="M395" s="22">
        <v>0</v>
      </c>
      <c r="N395" s="23">
        <f>95020.87</f>
      </c>
    </row>
    <row x14ac:dyDescent="0.25" r="396" customHeight="1" ht="18.75">
      <c r="A396" s="4" t="s">
        <v>587</v>
      </c>
      <c r="B396" s="22">
        <v>37756</v>
      </c>
      <c r="C396" s="19"/>
      <c r="D396" s="18"/>
      <c r="E396" s="20"/>
      <c r="F396" s="20"/>
      <c r="G396" s="20" t="s">
        <v>588</v>
      </c>
      <c r="H396" s="20" t="s">
        <v>589</v>
      </c>
      <c r="I396" s="19"/>
      <c r="J396" s="20"/>
      <c r="K396" s="20"/>
      <c r="L396" s="21"/>
      <c r="M396" s="22">
        <v>1</v>
      </c>
      <c r="N396" s="22">
        <v>22725</v>
      </c>
    </row>
    <row x14ac:dyDescent="0.25" r="397" customHeight="1" ht="18.75">
      <c r="A397" s="4" t="s">
        <v>590</v>
      </c>
      <c r="B397" s="22">
        <v>45000</v>
      </c>
      <c r="C397" s="19"/>
      <c r="D397" s="18"/>
      <c r="E397" s="20"/>
      <c r="F397" s="20"/>
      <c r="G397" s="22">
        <v>58</v>
      </c>
      <c r="H397" s="22">
        <v>250000</v>
      </c>
      <c r="I397" s="19"/>
      <c r="J397" s="20"/>
      <c r="K397" s="22">
        <v>25000</v>
      </c>
      <c r="L397" s="21"/>
      <c r="M397" s="22">
        <v>1</v>
      </c>
      <c r="N397" s="18"/>
    </row>
    <row x14ac:dyDescent="0.25" r="398" customHeight="1" ht="18.75">
      <c r="A398" s="4" t="s">
        <v>591</v>
      </c>
      <c r="B398" s="23">
        <f>40304.77+2428.39</f>
      </c>
      <c r="C398" s="19"/>
      <c r="D398" s="23">
        <v>399278.66</v>
      </c>
      <c r="E398" s="20"/>
      <c r="F398" s="20"/>
      <c r="G398" s="22">
        <v>63</v>
      </c>
      <c r="H398" s="22">
        <v>380000</v>
      </c>
      <c r="I398" s="19"/>
      <c r="J398" s="20"/>
      <c r="K398" s="20"/>
      <c r="L398" s="21"/>
      <c r="M398" s="22">
        <v>1</v>
      </c>
      <c r="N398" s="23">
        <v>16173.62</v>
      </c>
    </row>
    <row x14ac:dyDescent="0.25" r="399" customHeight="1" ht="18.75">
      <c r="A399" s="24" t="s">
        <v>592</v>
      </c>
      <c r="B399" s="18"/>
      <c r="C399" s="19"/>
      <c r="D399" s="18"/>
      <c r="E399" s="20"/>
      <c r="F399" s="20"/>
      <c r="G399" s="20"/>
      <c r="H399" s="20"/>
      <c r="I399" s="19"/>
      <c r="J399" s="20"/>
      <c r="K399" s="20"/>
      <c r="L399" s="21"/>
      <c r="M399" s="21"/>
      <c r="N399" s="18"/>
    </row>
    <row x14ac:dyDescent="0.25" r="400" customHeight="1" ht="18.75">
      <c r="A400" s="4" t="s">
        <v>593</v>
      </c>
      <c r="B400" s="23">
        <v>467192.37</v>
      </c>
      <c r="C400" s="23">
        <f>1607.2</f>
      </c>
      <c r="D400" s="22">
        <f>70000</f>
      </c>
      <c r="E400" s="23">
        <v>131.75</v>
      </c>
      <c r="F400" s="22">
        <v>380000</v>
      </c>
      <c r="G400" s="20"/>
      <c r="H400" s="20"/>
      <c r="I400" s="19"/>
      <c r="J400" s="20"/>
      <c r="K400" s="20"/>
      <c r="L400" s="21"/>
      <c r="M400" s="22">
        <v>1</v>
      </c>
      <c r="N400" s="18"/>
    </row>
    <row x14ac:dyDescent="0.25" r="401" customHeight="1" ht="18.75">
      <c r="A401" s="4" t="s">
        <v>594</v>
      </c>
      <c r="B401" s="22">
        <v>240000</v>
      </c>
      <c r="C401" s="19"/>
      <c r="D401" s="18"/>
      <c r="E401" s="22">
        <v>190</v>
      </c>
      <c r="F401" s="22">
        <v>210000</v>
      </c>
      <c r="G401" s="22">
        <v>100</v>
      </c>
      <c r="H401" s="22">
        <v>110000</v>
      </c>
      <c r="I401" s="22">
        <v>13</v>
      </c>
      <c r="J401" s="22">
        <v>650000</v>
      </c>
      <c r="K401" s="22">
        <f>180000+310000</f>
      </c>
      <c r="L401" s="21"/>
      <c r="M401" s="22">
        <v>2</v>
      </c>
      <c r="N401" s="22">
        <f>130000+70000</f>
      </c>
    </row>
    <row x14ac:dyDescent="0.25" r="402" customHeight="1" ht="18.75">
      <c r="A402" s="4" t="s">
        <v>595</v>
      </c>
      <c r="B402" s="22">
        <v>52000</v>
      </c>
      <c r="C402" s="23">
        <f>4132.8</f>
      </c>
      <c r="D402" s="18"/>
      <c r="E402" s="20"/>
      <c r="F402" s="20"/>
      <c r="G402" s="23">
        <v>37.3</v>
      </c>
      <c r="H402" s="22">
        <v>250000</v>
      </c>
      <c r="I402" s="19"/>
      <c r="J402" s="20"/>
      <c r="K402" s="20"/>
      <c r="L402" s="21"/>
      <c r="M402" s="22">
        <v>1</v>
      </c>
      <c r="N402" s="18"/>
    </row>
    <row x14ac:dyDescent="0.25" r="403" customHeight="1" ht="18.75">
      <c r="A403" s="4" t="s">
        <v>596</v>
      </c>
      <c r="B403" s="22">
        <v>98000</v>
      </c>
      <c r="C403" s="23">
        <f>11975.94+7350.87</f>
      </c>
      <c r="D403" s="22">
        <v>13585</v>
      </c>
      <c r="E403" s="23">
        <v>146.4</v>
      </c>
      <c r="F403" s="22">
        <v>729313</v>
      </c>
      <c r="G403" s="22">
        <v>122</v>
      </c>
      <c r="H403" s="22">
        <v>500000</v>
      </c>
      <c r="I403" s="19"/>
      <c r="J403" s="20"/>
      <c r="K403" s="22">
        <v>40000</v>
      </c>
      <c r="L403" s="21"/>
      <c r="M403" s="22">
        <v>1</v>
      </c>
      <c r="N403" s="22">
        <v>40000</v>
      </c>
    </row>
    <row x14ac:dyDescent="0.25" r="404" customHeight="1" ht="18.75">
      <c r="A404" s="4" t="s">
        <v>597</v>
      </c>
      <c r="B404" s="23">
        <v>160015.52</v>
      </c>
      <c r="C404" s="23">
        <v>4517.28</v>
      </c>
      <c r="D404" s="23">
        <v>1163.58</v>
      </c>
      <c r="E404" s="20"/>
      <c r="F404" s="20"/>
      <c r="G404" s="20" t="s">
        <v>598</v>
      </c>
      <c r="H404" s="20" t="s">
        <v>599</v>
      </c>
      <c r="I404" s="19"/>
      <c r="J404" s="20"/>
      <c r="K404" s="22">
        <v>170000</v>
      </c>
      <c r="L404" s="21"/>
      <c r="M404" s="22">
        <v>1</v>
      </c>
      <c r="N404" s="18"/>
    </row>
    <row x14ac:dyDescent="0.25" r="405" customHeight="1" ht="18.75">
      <c r="A405" s="4" t="s">
        <v>600</v>
      </c>
      <c r="B405" s="23">
        <v>22122.04</v>
      </c>
      <c r="C405" s="19"/>
      <c r="D405" s="18"/>
      <c r="E405" s="20"/>
      <c r="F405" s="20"/>
      <c r="G405" s="20"/>
      <c r="H405" s="20"/>
      <c r="I405" s="19"/>
      <c r="J405" s="20"/>
      <c r="K405" s="20"/>
      <c r="L405" s="21"/>
      <c r="M405" s="22">
        <v>2</v>
      </c>
      <c r="N405" s="23">
        <v>511470.11</v>
      </c>
    </row>
    <row x14ac:dyDescent="0.25" r="406" customHeight="1" ht="18.75">
      <c r="A406" s="4" t="s">
        <v>601</v>
      </c>
      <c r="B406" s="22">
        <v>170000</v>
      </c>
      <c r="C406" s="19"/>
      <c r="D406" s="22">
        <v>10000</v>
      </c>
      <c r="E406" s="20"/>
      <c r="F406" s="20"/>
      <c r="G406" s="22">
        <v>60</v>
      </c>
      <c r="H406" s="22">
        <v>600000</v>
      </c>
      <c r="I406" s="19"/>
      <c r="J406" s="20"/>
      <c r="K406" s="22">
        <v>30000</v>
      </c>
      <c r="L406" s="21"/>
      <c r="M406" s="22">
        <v>2</v>
      </c>
      <c r="N406" s="22">
        <v>265500</v>
      </c>
    </row>
    <row x14ac:dyDescent="0.25" r="407" customHeight="1" ht="18.75">
      <c r="A407" s="4" t="s">
        <v>602</v>
      </c>
      <c r="B407" s="23">
        <f>37179.14+837.8</f>
      </c>
      <c r="C407" s="23">
        <f>1089.07+9</f>
      </c>
      <c r="D407" s="22">
        <v>60</v>
      </c>
      <c r="E407" s="20"/>
      <c r="F407" s="20"/>
      <c r="G407" s="23">
        <v>76.56</v>
      </c>
      <c r="H407" s="22">
        <v>397020</v>
      </c>
      <c r="I407" s="19"/>
      <c r="J407" s="20"/>
      <c r="K407" s="20"/>
      <c r="L407" s="21"/>
      <c r="M407" s="22">
        <v>0</v>
      </c>
      <c r="N407" s="22">
        <v>264680</v>
      </c>
    </row>
    <row x14ac:dyDescent="0.25" r="408" customHeight="1" ht="18.75">
      <c r="A408" s="4" t="s">
        <v>603</v>
      </c>
      <c r="B408" s="22">
        <v>91000</v>
      </c>
      <c r="C408" s="19"/>
      <c r="D408" s="22">
        <v>65000</v>
      </c>
      <c r="E408" s="20"/>
      <c r="F408" s="20"/>
      <c r="G408" s="22">
        <v>66</v>
      </c>
      <c r="H408" s="22">
        <v>400000</v>
      </c>
      <c r="I408" s="19"/>
      <c r="J408" s="20"/>
      <c r="K408" s="22">
        <f>211878/6+204996/6+800000</f>
      </c>
      <c r="L408" s="21"/>
      <c r="M408" s="22">
        <v>1</v>
      </c>
      <c r="N408" s="23">
        <f>37650.35+1220473.87</f>
      </c>
    </row>
    <row x14ac:dyDescent="0.25" r="409" customHeight="1" ht="18.75">
      <c r="A409" s="4" t="s">
        <v>604</v>
      </c>
      <c r="B409" s="22">
        <v>83000</v>
      </c>
      <c r="C409" s="19"/>
      <c r="D409" s="18"/>
      <c r="E409" s="23">
        <v>112.5</v>
      </c>
      <c r="F409" s="22">
        <v>300000</v>
      </c>
      <c r="G409" s="20"/>
      <c r="H409" s="20"/>
      <c r="I409" s="23">
        <v>3.6</v>
      </c>
      <c r="J409" s="22">
        <v>100000</v>
      </c>
      <c r="K409" s="20"/>
      <c r="L409" s="21"/>
      <c r="M409" s="22">
        <v>2</v>
      </c>
      <c r="N409" s="18"/>
    </row>
    <row x14ac:dyDescent="0.25" r="410" customHeight="1" ht="18.75">
      <c r="A410" s="4" t="s">
        <v>605</v>
      </c>
      <c r="B410" s="23">
        <f>14385.65+25987.38</f>
      </c>
      <c r="C410" s="23">
        <f>49914.91+540.02</f>
      </c>
      <c r="D410" s="23">
        <f>7425.96+2547.47</f>
      </c>
      <c r="E410" s="23">
        <v>122.81</v>
      </c>
      <c r="F410" s="22">
        <v>600000</v>
      </c>
      <c r="G410" s="20"/>
      <c r="H410" s="20"/>
      <c r="I410" s="23">
        <v>1.0891</v>
      </c>
      <c r="J410" s="22">
        <v>135160</v>
      </c>
      <c r="K410" s="22">
        <f>200000</f>
      </c>
      <c r="L410" s="21"/>
      <c r="M410" s="22">
        <v>1</v>
      </c>
      <c r="N410" s="18"/>
    </row>
    <row x14ac:dyDescent="0.25" r="411" customHeight="1" ht="18.75">
      <c r="A411" s="4" t="s">
        <v>606</v>
      </c>
      <c r="B411" s="22">
        <v>4700</v>
      </c>
      <c r="C411" s="19"/>
      <c r="D411" s="18"/>
      <c r="E411" s="20"/>
      <c r="F411" s="20"/>
      <c r="G411" s="23">
        <v>43.4</v>
      </c>
      <c r="H411" s="22">
        <v>340000</v>
      </c>
      <c r="I411" s="23">
        <v>0.14</v>
      </c>
      <c r="J411" s="22">
        <v>80000</v>
      </c>
      <c r="K411" s="20"/>
      <c r="L411" s="21"/>
      <c r="M411" s="22">
        <v>1</v>
      </c>
      <c r="N411" s="22">
        <f>19000+228000</f>
      </c>
    </row>
    <row x14ac:dyDescent="0.25" r="412" customHeight="1" ht="18.75">
      <c r="A412" s="4" t="s">
        <v>607</v>
      </c>
      <c r="B412" s="18"/>
      <c r="C412" s="19"/>
      <c r="D412" s="18"/>
      <c r="E412" s="20"/>
      <c r="F412" s="20"/>
      <c r="G412" s="23">
        <v>83.56</v>
      </c>
      <c r="H412" s="22">
        <v>505000</v>
      </c>
      <c r="I412" s="19"/>
      <c r="J412" s="20"/>
      <c r="K412" s="20"/>
      <c r="L412" s="21"/>
      <c r="M412" s="22">
        <v>2</v>
      </c>
      <c r="N412" s="22">
        <f>90000+40000+13500+8632</f>
      </c>
    </row>
    <row x14ac:dyDescent="0.25" r="413" customHeight="1" ht="18.75">
      <c r="A413" s="4" t="s">
        <v>608</v>
      </c>
      <c r="B413" s="22">
        <v>380000</v>
      </c>
      <c r="C413" s="23">
        <f>44156.92+1050.33+267.89</f>
      </c>
      <c r="D413" s="23">
        <v>132214.5</v>
      </c>
      <c r="E413" s="20"/>
      <c r="F413" s="20"/>
      <c r="G413" s="20"/>
      <c r="H413" s="20"/>
      <c r="I413" s="19"/>
      <c r="J413" s="20"/>
      <c r="K413" s="20"/>
      <c r="L413" s="23">
        <v>91396.5</v>
      </c>
      <c r="M413" s="22">
        <v>1</v>
      </c>
      <c r="N413" s="18"/>
    </row>
    <row x14ac:dyDescent="0.25" r="414" customHeight="1" ht="18.75">
      <c r="A414" s="4" t="s">
        <v>609</v>
      </c>
      <c r="B414" s="18"/>
      <c r="C414" s="19"/>
      <c r="D414" s="18"/>
      <c r="E414" s="22">
        <v>182</v>
      </c>
      <c r="F414" s="22">
        <v>670000</v>
      </c>
      <c r="G414" s="20"/>
      <c r="H414" s="20"/>
      <c r="I414" s="19"/>
      <c r="J414" s="20"/>
      <c r="K414" s="20"/>
      <c r="L414" s="21"/>
      <c r="M414" s="22">
        <v>1</v>
      </c>
      <c r="N414" s="23">
        <f>57242.64+354.78</f>
      </c>
    </row>
    <row x14ac:dyDescent="0.25" r="415" customHeight="1" ht="18.75">
      <c r="A415" s="4" t="s">
        <v>610</v>
      </c>
      <c r="B415" s="18"/>
      <c r="C415" s="19"/>
      <c r="D415" s="18"/>
      <c r="E415" s="20"/>
      <c r="F415" s="20"/>
      <c r="G415" s="22">
        <v>75</v>
      </c>
      <c r="H415" s="22">
        <v>760000</v>
      </c>
      <c r="I415" s="19"/>
      <c r="J415" s="20"/>
      <c r="K415" s="22">
        <v>400000</v>
      </c>
      <c r="L415" s="21"/>
      <c r="M415" s="22">
        <v>0</v>
      </c>
      <c r="N415" s="18"/>
    </row>
    <row x14ac:dyDescent="0.25" r="416" customHeight="1" ht="18.75">
      <c r="A416" s="4" t="s">
        <v>611</v>
      </c>
      <c r="B416" s="22">
        <v>500763</v>
      </c>
      <c r="C416" s="19"/>
      <c r="D416" s="23">
        <v>104685.84</v>
      </c>
      <c r="E416" s="22">
        <v>147</v>
      </c>
      <c r="F416" s="22">
        <v>400000</v>
      </c>
      <c r="G416" s="20" t="s">
        <v>612</v>
      </c>
      <c r="H416" s="20" t="s">
        <v>613</v>
      </c>
      <c r="I416" s="19"/>
      <c r="J416" s="20"/>
      <c r="K416" s="22">
        <f>103450+98210</f>
      </c>
      <c r="L416" s="21"/>
      <c r="M416" s="22">
        <v>2</v>
      </c>
      <c r="N416" s="18"/>
    </row>
    <row x14ac:dyDescent="0.25" r="417" customHeight="1" ht="18.75">
      <c r="A417" s="4" t="s">
        <v>614</v>
      </c>
      <c r="B417" s="22">
        <v>1729</v>
      </c>
      <c r="C417" s="19"/>
      <c r="D417" s="23">
        <v>598.32</v>
      </c>
      <c r="E417" s="20"/>
      <c r="F417" s="20"/>
      <c r="G417" s="20"/>
      <c r="H417" s="20"/>
      <c r="I417" s="19"/>
      <c r="J417" s="20"/>
      <c r="K417" s="20"/>
      <c r="L417" s="21"/>
      <c r="M417" s="22">
        <v>1</v>
      </c>
      <c r="N417" s="23">
        <f>27957.92+27000+18750</f>
      </c>
    </row>
    <row x14ac:dyDescent="0.25" r="418" customHeight="1" ht="18.75">
      <c r="A418" s="4" t="s">
        <v>615</v>
      </c>
      <c r="B418" s="22">
        <v>80000</v>
      </c>
      <c r="C418" s="23">
        <v>32153.1</v>
      </c>
      <c r="D418" s="22">
        <v>47000</v>
      </c>
      <c r="E418" s="22">
        <v>217</v>
      </c>
      <c r="F418" s="22">
        <v>250000</v>
      </c>
      <c r="G418" s="20"/>
      <c r="H418" s="20"/>
      <c r="I418" s="19"/>
      <c r="J418" s="20"/>
      <c r="K418" s="22">
        <f>20000+34000</f>
      </c>
      <c r="L418" s="21"/>
      <c r="M418" s="22">
        <v>2</v>
      </c>
      <c r="N418" s="18"/>
    </row>
    <row x14ac:dyDescent="0.25" r="419" customHeight="1" ht="18.75">
      <c r="A419" s="4" t="s">
        <v>616</v>
      </c>
      <c r="B419" s="22">
        <v>48000</v>
      </c>
      <c r="C419" s="23">
        <v>459.35</v>
      </c>
      <c r="D419" s="18"/>
      <c r="E419" s="22">
        <v>337</v>
      </c>
      <c r="F419" s="20"/>
      <c r="G419" s="20"/>
      <c r="H419" s="20"/>
      <c r="I419" s="23">
        <f>1.7719+0.115</f>
      </c>
      <c r="J419" s="22">
        <v>33500</v>
      </c>
      <c r="K419" s="22">
        <v>800000</v>
      </c>
      <c r="L419" s="21"/>
      <c r="M419" s="22">
        <v>2</v>
      </c>
      <c r="N419" s="23">
        <f>205663.16+17850+134740.73</f>
      </c>
    </row>
    <row x14ac:dyDescent="0.25" r="420" customHeight="1" ht="18.75">
      <c r="A420" s="4" t="s">
        <v>617</v>
      </c>
      <c r="B420" s="23">
        <v>144975.2</v>
      </c>
      <c r="C420" s="19"/>
      <c r="D420" s="23">
        <f>1112464.31+308649.13+100167.3+247303.51+456115.07+210238.63</f>
      </c>
      <c r="E420" s="22">
        <v>166</v>
      </c>
      <c r="F420" s="20"/>
      <c r="G420" s="20"/>
      <c r="H420" s="20"/>
      <c r="I420" s="19"/>
      <c r="J420" s="20"/>
      <c r="K420" s="20"/>
      <c r="L420" s="21"/>
      <c r="M420" s="22">
        <v>1</v>
      </c>
      <c r="N420" s="18"/>
    </row>
    <row x14ac:dyDescent="0.25" r="421" customHeight="1" ht="18.75">
      <c r="A421" s="4" t="s">
        <v>618</v>
      </c>
      <c r="B421" s="23">
        <f>19096.52+0.74+1708.55+232.9</f>
      </c>
      <c r="C421" s="19"/>
      <c r="D421" s="18"/>
      <c r="E421" s="20"/>
      <c r="F421" s="20"/>
      <c r="G421" s="20" t="s">
        <v>619</v>
      </c>
      <c r="H421" s="20" t="s">
        <v>620</v>
      </c>
      <c r="I421" s="19"/>
      <c r="J421" s="20"/>
      <c r="K421" s="22">
        <f>40000+60000</f>
      </c>
      <c r="L421" s="21"/>
      <c r="M421" s="22">
        <v>2</v>
      </c>
      <c r="N421" s="23">
        <f>406348.56+13840+465135.72+25500</f>
      </c>
    </row>
    <row x14ac:dyDescent="0.25" r="422" customHeight="1" ht="18.75">
      <c r="A422" s="4" t="s">
        <v>621</v>
      </c>
      <c r="B422" s="22">
        <v>80000</v>
      </c>
      <c r="C422" s="19"/>
      <c r="D422" s="18"/>
      <c r="E422" s="22">
        <v>165</v>
      </c>
      <c r="F422" s="22">
        <v>180000</v>
      </c>
      <c r="G422" s="20"/>
      <c r="H422" s="20"/>
      <c r="I422" s="19"/>
      <c r="J422" s="20"/>
      <c r="K422" s="22">
        <v>61900</v>
      </c>
      <c r="L422" s="21"/>
      <c r="M422" s="22">
        <v>1</v>
      </c>
      <c r="N422" s="22">
        <v>14000</v>
      </c>
    </row>
    <row x14ac:dyDescent="0.25" r="423" customHeight="1" ht="18.75">
      <c r="A423" s="4" t="s">
        <v>622</v>
      </c>
      <c r="B423" s="22">
        <v>105350</v>
      </c>
      <c r="C423" s="19"/>
      <c r="D423" s="23">
        <v>34704.7</v>
      </c>
      <c r="E423" s="20"/>
      <c r="F423" s="20"/>
      <c r="G423" s="23">
        <v>50.7</v>
      </c>
      <c r="H423" s="22">
        <v>165000</v>
      </c>
      <c r="I423" s="19"/>
      <c r="J423" s="20"/>
      <c r="K423" s="20"/>
      <c r="L423" s="21"/>
      <c r="M423" s="22">
        <v>1</v>
      </c>
      <c r="N423" s="18"/>
    </row>
    <row x14ac:dyDescent="0.25" r="424" customHeight="1" ht="18.75">
      <c r="A424" s="4" t="s">
        <v>623</v>
      </c>
      <c r="B424" s="22">
        <v>116400</v>
      </c>
      <c r="C424" s="19"/>
      <c r="D424" s="18"/>
      <c r="E424" s="22">
        <v>144</v>
      </c>
      <c r="F424" s="22">
        <v>300000</v>
      </c>
      <c r="G424" s="20"/>
      <c r="H424" s="20"/>
      <c r="I424" s="19"/>
      <c r="J424" s="20"/>
      <c r="K424" s="22">
        <v>100000</v>
      </c>
      <c r="L424" s="21"/>
      <c r="M424" s="22">
        <v>2</v>
      </c>
      <c r="N424" s="18"/>
    </row>
    <row x14ac:dyDescent="0.25" r="425" customHeight="1" ht="18.75">
      <c r="A425" s="24" t="s">
        <v>624</v>
      </c>
      <c r="B425" s="18"/>
      <c r="C425" s="19"/>
      <c r="D425" s="18"/>
      <c r="E425" s="20"/>
      <c r="F425" s="20"/>
      <c r="G425" s="20"/>
      <c r="H425" s="20"/>
      <c r="I425" s="19"/>
      <c r="J425" s="20"/>
      <c r="K425" s="20"/>
      <c r="L425" s="21"/>
      <c r="M425" s="21"/>
      <c r="N425" s="18"/>
    </row>
    <row x14ac:dyDescent="0.25" r="426" customHeight="1" ht="18.75">
      <c r="A426" s="4" t="s">
        <v>625</v>
      </c>
      <c r="B426" s="23">
        <v>514978.17</v>
      </c>
      <c r="C426" s="19"/>
      <c r="D426" s="18"/>
      <c r="E426" s="20"/>
      <c r="F426" s="20"/>
      <c r="G426" s="23">
        <v>65.1</v>
      </c>
      <c r="H426" s="22">
        <v>485000</v>
      </c>
      <c r="I426" s="19"/>
      <c r="J426" s="20"/>
      <c r="K426" s="22">
        <v>850000</v>
      </c>
      <c r="L426" s="21"/>
      <c r="M426" s="22">
        <v>1</v>
      </c>
      <c r="N426" s="18"/>
    </row>
    <row x14ac:dyDescent="0.25" r="427" customHeight="1" ht="18.75">
      <c r="A427" s="4" t="s">
        <v>626</v>
      </c>
      <c r="B427" s="22">
        <v>108000</v>
      </c>
      <c r="C427" s="19"/>
      <c r="D427" s="18"/>
      <c r="E427" s="20"/>
      <c r="F427" s="20"/>
      <c r="G427" s="22">
        <v>49</v>
      </c>
      <c r="H427" s="20"/>
      <c r="I427" s="19"/>
      <c r="J427" s="20"/>
      <c r="K427" s="20"/>
      <c r="L427" s="21"/>
      <c r="M427" s="22">
        <v>1</v>
      </c>
      <c r="N427" s="22">
        <f>316800+60000</f>
      </c>
    </row>
    <row x14ac:dyDescent="0.25" r="428" customHeight="1" ht="18.75">
      <c r="A428" s="4" t="s">
        <v>627</v>
      </c>
      <c r="B428" s="22">
        <v>25000</v>
      </c>
      <c r="C428" s="19"/>
      <c r="D428" s="18"/>
      <c r="E428" s="20" t="s">
        <v>628</v>
      </c>
      <c r="F428" s="20" t="s">
        <v>629</v>
      </c>
      <c r="G428" s="20"/>
      <c r="H428" s="20"/>
      <c r="I428" s="23">
        <v>0.7</v>
      </c>
      <c r="J428" s="22">
        <v>150000</v>
      </c>
      <c r="K428" s="22">
        <f>95000+300000</f>
      </c>
      <c r="L428" s="21"/>
      <c r="M428" s="22">
        <v>2</v>
      </c>
      <c r="N428" s="22">
        <f>760000+50000+30000</f>
      </c>
    </row>
    <row x14ac:dyDescent="0.25" r="429" customHeight="1" ht="18.75">
      <c r="A429" s="4" t="s">
        <v>630</v>
      </c>
      <c r="B429" s="22">
        <v>105000</v>
      </c>
      <c r="C429" s="19"/>
      <c r="D429" s="18"/>
      <c r="E429" s="22">
        <v>250</v>
      </c>
      <c r="F429" s="22">
        <v>800000</v>
      </c>
      <c r="G429" s="20"/>
      <c r="H429" s="20"/>
      <c r="I429" s="23">
        <v>3.08</v>
      </c>
      <c r="J429" s="22">
        <v>20000</v>
      </c>
      <c r="K429" s="22">
        <f>50000+550000+460000+1200000+1500000</f>
      </c>
      <c r="L429" s="21"/>
      <c r="M429" s="22">
        <v>1</v>
      </c>
      <c r="N429" s="23">
        <f>216704.08+151629.46</f>
      </c>
    </row>
    <row x14ac:dyDescent="0.25" r="430" customHeight="1" ht="18.75">
      <c r="A430" s="4" t="s">
        <v>631</v>
      </c>
      <c r="B430" s="22">
        <v>340000</v>
      </c>
      <c r="C430" s="19"/>
      <c r="D430" s="18"/>
      <c r="E430" s="20"/>
      <c r="F430" s="20"/>
      <c r="G430" s="22">
        <v>49</v>
      </c>
      <c r="H430" s="22">
        <v>114500</v>
      </c>
      <c r="I430" s="19"/>
      <c r="J430" s="20"/>
      <c r="K430" s="22">
        <v>35000</v>
      </c>
      <c r="L430" s="21"/>
      <c r="M430" s="22">
        <v>2</v>
      </c>
      <c r="N430" s="18"/>
    </row>
    <row x14ac:dyDescent="0.25" r="431" customHeight="1" ht="18.75">
      <c r="A431" s="4" t="s">
        <v>632</v>
      </c>
      <c r="B431" s="23">
        <v>145746.41</v>
      </c>
      <c r="C431" s="19"/>
      <c r="D431" s="22">
        <v>20000</v>
      </c>
      <c r="E431" s="20"/>
      <c r="F431" s="20"/>
      <c r="G431" s="23">
        <v>49.04</v>
      </c>
      <c r="H431" s="22">
        <v>97987</v>
      </c>
      <c r="I431" s="19"/>
      <c r="J431" s="20"/>
      <c r="K431" s="20"/>
      <c r="L431" s="21"/>
      <c r="M431" s="22">
        <v>3</v>
      </c>
      <c r="N431" s="22">
        <v>12000</v>
      </c>
    </row>
    <row x14ac:dyDescent="0.25" r="432" customHeight="1" ht="18.75">
      <c r="A432" s="4" t="s">
        <v>633</v>
      </c>
      <c r="B432" s="23">
        <f>68167.19+10409.83</f>
      </c>
      <c r="C432" s="23">
        <v>3228.84</v>
      </c>
      <c r="D432" s="23">
        <f>23218.37</f>
      </c>
      <c r="E432" s="20"/>
      <c r="F432" s="20"/>
      <c r="G432" s="23">
        <v>95.68</v>
      </c>
      <c r="H432" s="22">
        <v>601555</v>
      </c>
      <c r="I432" s="19"/>
      <c r="J432" s="20"/>
      <c r="K432" s="22">
        <f>180000+153750</f>
      </c>
      <c r="L432" s="21"/>
      <c r="M432" s="22">
        <v>1</v>
      </c>
      <c r="N432" s="18"/>
    </row>
    <row x14ac:dyDescent="0.25" r="433" customHeight="1" ht="18.75">
      <c r="A433" s="4" t="s">
        <v>634</v>
      </c>
      <c r="B433" s="22">
        <v>15000</v>
      </c>
      <c r="C433" s="23">
        <v>108428.36</v>
      </c>
      <c r="D433" s="22">
        <v>125000</v>
      </c>
      <c r="E433" s="22">
        <v>240</v>
      </c>
      <c r="F433" s="22">
        <v>1200000</v>
      </c>
      <c r="G433" s="20"/>
      <c r="H433" s="20"/>
      <c r="I433" s="23">
        <v>0.71</v>
      </c>
      <c r="J433" s="22">
        <v>250000</v>
      </c>
      <c r="K433" s="22">
        <v>500000</v>
      </c>
      <c r="L433" s="21"/>
      <c r="M433" s="22">
        <v>2</v>
      </c>
      <c r="N433" s="22">
        <f>225000+323844</f>
      </c>
    </row>
    <row x14ac:dyDescent="0.25" r="434" customHeight="1" ht="18.75">
      <c r="A434" s="4" t="s">
        <v>635</v>
      </c>
      <c r="B434" s="22">
        <v>30000</v>
      </c>
      <c r="C434" s="19"/>
      <c r="D434" s="18"/>
      <c r="E434" s="22">
        <v>308</v>
      </c>
      <c r="F434" s="22">
        <v>850000</v>
      </c>
      <c r="G434" s="20"/>
      <c r="H434" s="20"/>
      <c r="I434" s="19"/>
      <c r="J434" s="20"/>
      <c r="K434" s="22">
        <v>200000</v>
      </c>
      <c r="L434" s="21"/>
      <c r="M434" s="22">
        <v>1</v>
      </c>
      <c r="N434" s="18"/>
    </row>
    <row x14ac:dyDescent="0.25" r="435" customHeight="1" ht="18.75">
      <c r="A435" s="4" t="s">
        <v>636</v>
      </c>
      <c r="B435" s="22">
        <v>63930</v>
      </c>
      <c r="C435" s="23">
        <v>13857.6</v>
      </c>
      <c r="D435" s="22">
        <v>79800</v>
      </c>
      <c r="E435" s="23">
        <v>267.7</v>
      </c>
      <c r="F435" s="22">
        <v>700000</v>
      </c>
      <c r="G435" s="20"/>
      <c r="H435" s="20"/>
      <c r="I435" s="19"/>
      <c r="J435" s="20"/>
      <c r="K435" s="22">
        <v>170000</v>
      </c>
      <c r="L435" s="21"/>
      <c r="M435" s="22">
        <v>2</v>
      </c>
      <c r="N435" s="23">
        <v>171258.27</v>
      </c>
    </row>
    <row x14ac:dyDescent="0.25" r="436" customHeight="1" ht="18.75">
      <c r="A436" s="24" t="s">
        <v>637</v>
      </c>
      <c r="B436" s="18"/>
      <c r="C436" s="19"/>
      <c r="D436" s="18"/>
      <c r="E436" s="20"/>
      <c r="F436" s="20"/>
      <c r="G436" s="20"/>
      <c r="H436" s="20"/>
      <c r="I436" s="19"/>
      <c r="J436" s="20"/>
      <c r="K436" s="20"/>
      <c r="L436" s="21"/>
      <c r="M436" s="21"/>
      <c r="N436" s="18"/>
    </row>
    <row x14ac:dyDescent="0.25" r="437" customHeight="1" ht="18.75">
      <c r="A437" s="4" t="s">
        <v>638</v>
      </c>
      <c r="B437" s="22">
        <v>22000</v>
      </c>
      <c r="C437" s="19"/>
      <c r="D437" s="18"/>
      <c r="E437" s="20"/>
      <c r="F437" s="20"/>
      <c r="G437" s="20"/>
      <c r="H437" s="20"/>
      <c r="I437" s="19"/>
      <c r="J437" s="20"/>
      <c r="K437" s="20"/>
      <c r="L437" s="21"/>
      <c r="M437" s="22">
        <v>0</v>
      </c>
      <c r="N437" s="18"/>
    </row>
    <row x14ac:dyDescent="0.25" r="438" customHeight="1" ht="18.75">
      <c r="A438" s="4" t="s">
        <v>639</v>
      </c>
      <c r="B438" s="22">
        <v>119500</v>
      </c>
      <c r="C438" s="23">
        <v>15243.36</v>
      </c>
      <c r="D438" s="18"/>
      <c r="E438" s="23">
        <v>168.15</v>
      </c>
      <c r="F438" s="22">
        <v>800000</v>
      </c>
      <c r="G438" s="20"/>
      <c r="H438" s="20"/>
      <c r="I438" s="19"/>
      <c r="J438" s="20"/>
      <c r="K438" s="20"/>
      <c r="L438" s="21"/>
      <c r="M438" s="22">
        <v>1</v>
      </c>
      <c r="N438" s="23">
        <f>232307.28+82325.76</f>
      </c>
    </row>
    <row x14ac:dyDescent="0.25" r="439" customHeight="1" ht="18.75">
      <c r="A439" s="4" t="s">
        <v>640</v>
      </c>
      <c r="B439" s="22">
        <v>30000</v>
      </c>
      <c r="C439" s="19"/>
      <c r="D439" s="18"/>
      <c r="E439" s="20"/>
      <c r="F439" s="20"/>
      <c r="G439" s="22">
        <v>63</v>
      </c>
      <c r="H439" s="22">
        <v>230000</v>
      </c>
      <c r="I439" s="19"/>
      <c r="J439" s="20"/>
      <c r="K439" s="20"/>
      <c r="L439" s="21"/>
      <c r="M439" s="22">
        <v>1</v>
      </c>
      <c r="N439" s="22">
        <f>11400+15700+30000</f>
      </c>
    </row>
    <row x14ac:dyDescent="0.25" r="440" customHeight="1" ht="18.75">
      <c r="A440" s="4" t="s">
        <v>641</v>
      </c>
      <c r="B440" s="23">
        <v>36494.32</v>
      </c>
      <c r="C440" s="23">
        <f>12080.4+1358.27</f>
      </c>
      <c r="D440" s="18"/>
      <c r="E440" s="20"/>
      <c r="F440" s="20"/>
      <c r="G440" s="20"/>
      <c r="H440" s="20"/>
      <c r="I440" s="19"/>
      <c r="J440" s="20"/>
      <c r="K440" s="20"/>
      <c r="L440" s="21"/>
      <c r="M440" s="22">
        <v>2</v>
      </c>
      <c r="N440" s="18"/>
    </row>
    <row x14ac:dyDescent="0.25" r="441" customHeight="1" ht="18.75">
      <c r="A441" s="4" t="s">
        <v>642</v>
      </c>
      <c r="B441" s="22">
        <v>16000</v>
      </c>
      <c r="C441" s="19"/>
      <c r="D441" s="18"/>
      <c r="E441" s="22">
        <v>100</v>
      </c>
      <c r="F441" s="22">
        <v>90000</v>
      </c>
      <c r="G441" s="20"/>
      <c r="H441" s="20"/>
      <c r="I441" s="23">
        <v>17.19</v>
      </c>
      <c r="J441" s="22">
        <v>240000</v>
      </c>
      <c r="K441" s="20"/>
      <c r="L441" s="21"/>
      <c r="M441" s="22">
        <v>3</v>
      </c>
      <c r="N441" s="22">
        <v>16050</v>
      </c>
    </row>
    <row x14ac:dyDescent="0.25" r="442" customHeight="1" ht="18.75">
      <c r="A442" s="4" t="s">
        <v>643</v>
      </c>
      <c r="B442" s="23">
        <v>816.64</v>
      </c>
      <c r="C442" s="19"/>
      <c r="D442" s="18"/>
      <c r="E442" s="20"/>
      <c r="F442" s="20"/>
      <c r="G442" s="23">
        <v>51.77</v>
      </c>
      <c r="H442" s="20"/>
      <c r="I442" s="19"/>
      <c r="J442" s="20"/>
      <c r="K442" s="20"/>
      <c r="L442" s="21"/>
      <c r="M442" s="22">
        <v>1</v>
      </c>
      <c r="N442" s="23">
        <f>37628.3</f>
      </c>
    </row>
    <row x14ac:dyDescent="0.25" r="443" customHeight="1" ht="18.75">
      <c r="A443" s="4" t="s">
        <v>644</v>
      </c>
      <c r="B443" s="22">
        <v>730000</v>
      </c>
      <c r="C443" s="23">
        <v>4615.12</v>
      </c>
      <c r="D443" s="18"/>
      <c r="E443" s="20"/>
      <c r="F443" s="20"/>
      <c r="G443" s="20" t="s">
        <v>645</v>
      </c>
      <c r="H443" s="20" t="s">
        <v>646</v>
      </c>
      <c r="I443" s="19"/>
      <c r="J443" s="20"/>
      <c r="K443" s="20"/>
      <c r="L443" s="22">
        <f>474180+500000</f>
      </c>
      <c r="M443" s="22">
        <v>0</v>
      </c>
      <c r="N443" s="23">
        <f>221120.29+73801.84</f>
      </c>
    </row>
    <row x14ac:dyDescent="0.25" r="444" customHeight="1" ht="18.75">
      <c r="A444" s="4" t="s">
        <v>647</v>
      </c>
      <c r="B444" s="22">
        <v>330000</v>
      </c>
      <c r="C444" s="19"/>
      <c r="D444" s="18"/>
      <c r="E444" s="20"/>
      <c r="F444" s="20"/>
      <c r="G444" s="23">
        <v>73.3</v>
      </c>
      <c r="H444" s="22">
        <v>250000</v>
      </c>
      <c r="I444" s="19"/>
      <c r="J444" s="20"/>
      <c r="K444" s="22">
        <f>500000</f>
      </c>
      <c r="L444" s="21"/>
      <c r="M444" s="22">
        <v>1</v>
      </c>
      <c r="N444" s="23">
        <f>56048.81+16244.85+85000</f>
      </c>
    </row>
    <row x14ac:dyDescent="0.25" r="445" customHeight="1" ht="18.75">
      <c r="A445" s="4" t="s">
        <v>648</v>
      </c>
      <c r="B445" s="22">
        <v>77000</v>
      </c>
      <c r="C445" s="19"/>
      <c r="D445" s="18"/>
      <c r="E445" s="20"/>
      <c r="F445" s="20"/>
      <c r="G445" s="20"/>
      <c r="H445" s="20"/>
      <c r="I445" s="19"/>
      <c r="J445" s="20"/>
      <c r="K445" s="22">
        <v>520000</v>
      </c>
      <c r="L445" s="21"/>
      <c r="M445" s="22">
        <v>0</v>
      </c>
      <c r="N445" s="23">
        <f>242136.87+20000</f>
      </c>
    </row>
    <row x14ac:dyDescent="0.25" r="446" customHeight="1" ht="18.75">
      <c r="A446" s="4" t="s">
        <v>649</v>
      </c>
      <c r="B446" s="22">
        <v>87000</v>
      </c>
      <c r="C446" s="23">
        <f>5229.58+1663.07</f>
      </c>
      <c r="D446" s="18"/>
      <c r="E446" s="22">
        <v>260</v>
      </c>
      <c r="F446" s="22">
        <v>490000</v>
      </c>
      <c r="G446" s="20"/>
      <c r="H446" s="20"/>
      <c r="I446" s="23">
        <v>4.7026</v>
      </c>
      <c r="J446" s="22">
        <v>51000</v>
      </c>
      <c r="K446" s="22">
        <f>133000</f>
      </c>
      <c r="L446" s="22">
        <v>150</v>
      </c>
      <c r="M446" s="22">
        <v>2</v>
      </c>
      <c r="N446" s="22">
        <f>20000+44000</f>
      </c>
    </row>
    <row x14ac:dyDescent="0.25" r="447" customHeight="1" ht="18.75">
      <c r="A447" s="4" t="s">
        <v>650</v>
      </c>
      <c r="B447" s="22">
        <v>26500</v>
      </c>
      <c r="C447" s="23">
        <v>9348.46</v>
      </c>
      <c r="D447" s="18"/>
      <c r="E447" s="20"/>
      <c r="F447" s="20"/>
      <c r="G447" s="23">
        <v>58.5</v>
      </c>
      <c r="H447" s="22">
        <v>100000</v>
      </c>
      <c r="I447" s="19"/>
      <c r="J447" s="20"/>
      <c r="K447" s="22">
        <f>50000+5000+10000</f>
      </c>
      <c r="L447" s="21"/>
      <c r="M447" s="22">
        <v>1</v>
      </c>
      <c r="N447" s="18"/>
    </row>
    <row x14ac:dyDescent="0.25" r="448" customHeight="1" ht="18.75">
      <c r="A448" s="4" t="s">
        <v>651</v>
      </c>
      <c r="B448" s="22">
        <v>233250</v>
      </c>
      <c r="C448" s="19"/>
      <c r="D448" s="23">
        <v>15960.6</v>
      </c>
      <c r="E448" s="20" t="s">
        <v>652</v>
      </c>
      <c r="F448" s="20" t="s">
        <v>653</v>
      </c>
      <c r="G448" s="20" t="s">
        <v>654</v>
      </c>
      <c r="H448" s="20" t="s">
        <v>655</v>
      </c>
      <c r="I448" s="19"/>
      <c r="J448" s="20"/>
      <c r="K448" s="20"/>
      <c r="L448" s="21"/>
      <c r="M448" s="22">
        <v>2</v>
      </c>
      <c r="N448" s="18"/>
    </row>
    <row x14ac:dyDescent="0.25" r="449" customHeight="1" ht="18.75">
      <c r="A449" s="4" t="s">
        <v>656</v>
      </c>
      <c r="B449" s="22">
        <v>420000</v>
      </c>
      <c r="C449" s="23">
        <v>218.84</v>
      </c>
      <c r="D449" s="22">
        <v>13500</v>
      </c>
      <c r="E449" s="23">
        <v>213.1</v>
      </c>
      <c r="F449" s="22">
        <v>390000</v>
      </c>
      <c r="G449" s="23">
        <v>47.79</v>
      </c>
      <c r="H449" s="22">
        <v>220000</v>
      </c>
      <c r="I449" s="19"/>
      <c r="J449" s="20"/>
      <c r="K449" s="22">
        <f>416920+20000+509000</f>
      </c>
      <c r="L449" s="21"/>
      <c r="M449" s="22">
        <v>1</v>
      </c>
      <c r="N449" s="18"/>
    </row>
    <row x14ac:dyDescent="0.25" r="450" customHeight="1" ht="18.75">
      <c r="A450" s="4" t="s">
        <v>657</v>
      </c>
      <c r="B450" s="18"/>
      <c r="C450" s="19"/>
      <c r="D450" s="18"/>
      <c r="E450" s="20"/>
      <c r="F450" s="20"/>
      <c r="G450" s="20"/>
      <c r="H450" s="20"/>
      <c r="I450" s="19"/>
      <c r="J450" s="20"/>
      <c r="K450" s="20"/>
      <c r="L450" s="21"/>
      <c r="M450" s="22">
        <v>0</v>
      </c>
      <c r="N450" s="22">
        <v>19000</v>
      </c>
    </row>
    <row x14ac:dyDescent="0.25" r="451" customHeight="1" ht="18.75">
      <c r="A451" s="4" t="s">
        <v>658</v>
      </c>
      <c r="B451" s="22">
        <v>85000</v>
      </c>
      <c r="C451" s="19"/>
      <c r="D451" s="22">
        <v>26000</v>
      </c>
      <c r="E451" s="22">
        <v>140</v>
      </c>
      <c r="F451" s="22">
        <v>900000</v>
      </c>
      <c r="G451" s="23">
        <v>33.4</v>
      </c>
      <c r="H451" s="22">
        <v>230000</v>
      </c>
      <c r="I451" s="19"/>
      <c r="J451" s="20"/>
      <c r="K451" s="22">
        <f>60000+20000+30000</f>
      </c>
      <c r="L451" s="21"/>
      <c r="M451" s="22">
        <v>1</v>
      </c>
      <c r="N451" s="23">
        <f>118000+432538.46</f>
      </c>
    </row>
    <row x14ac:dyDescent="0.25" r="452" customHeight="1" ht="18.75">
      <c r="A452" s="4" t="s">
        <v>659</v>
      </c>
      <c r="B452" s="22">
        <v>50000</v>
      </c>
      <c r="C452" s="22">
        <v>453537</v>
      </c>
      <c r="D452" s="18"/>
      <c r="E452" s="22">
        <v>240</v>
      </c>
      <c r="F452" s="22">
        <v>1030000</v>
      </c>
      <c r="G452" s="22">
        <v>81</v>
      </c>
      <c r="H452" s="22">
        <v>820000</v>
      </c>
      <c r="I452" s="19"/>
      <c r="J452" s="20"/>
      <c r="K452" s="20"/>
      <c r="L452" s="21"/>
      <c r="M452" s="22">
        <v>1</v>
      </c>
      <c r="N452" s="23">
        <v>249908.14</v>
      </c>
    </row>
    <row x14ac:dyDescent="0.25" r="453" customHeight="1" ht="18.75">
      <c r="A453" s="4" t="s">
        <v>660</v>
      </c>
      <c r="B453" s="22">
        <v>85000</v>
      </c>
      <c r="C453" s="19"/>
      <c r="D453" s="18"/>
      <c r="E453" s="20"/>
      <c r="F453" s="20"/>
      <c r="G453" s="22">
        <v>95</v>
      </c>
      <c r="H453" s="22">
        <v>1050000</v>
      </c>
      <c r="I453" s="19"/>
      <c r="J453" s="20"/>
      <c r="K453" s="20"/>
      <c r="L453" s="21"/>
      <c r="M453" s="22">
        <v>0</v>
      </c>
      <c r="N453" s="18"/>
    </row>
    <row x14ac:dyDescent="0.25" r="454" customHeight="1" ht="18.75">
      <c r="A454" s="4" t="s">
        <v>661</v>
      </c>
      <c r="B454" s="23">
        <v>6958.96</v>
      </c>
      <c r="C454" s="19"/>
      <c r="D454" s="18"/>
      <c r="E454" s="20"/>
      <c r="F454" s="20"/>
      <c r="G454" s="20"/>
      <c r="H454" s="20"/>
      <c r="I454" s="19"/>
      <c r="J454" s="20"/>
      <c r="K454" s="20"/>
      <c r="L454" s="21"/>
      <c r="M454" s="22">
        <v>0</v>
      </c>
      <c r="N454" s="18"/>
    </row>
    <row x14ac:dyDescent="0.25" r="455" customHeight="1" ht="18.75">
      <c r="A455" s="4" t="s">
        <v>662</v>
      </c>
      <c r="B455" s="18"/>
      <c r="C455" s="19"/>
      <c r="D455" s="18"/>
      <c r="E455" s="22">
        <v>130</v>
      </c>
      <c r="F455" s="22">
        <v>350000</v>
      </c>
      <c r="G455" s="20"/>
      <c r="H455" s="20"/>
      <c r="I455" s="19"/>
      <c r="J455" s="20"/>
      <c r="K455" s="22">
        <f>50000+45000+50000</f>
      </c>
      <c r="L455" s="21"/>
      <c r="M455" s="22">
        <v>2</v>
      </c>
      <c r="N455" s="23">
        <v>20052.94</v>
      </c>
    </row>
    <row x14ac:dyDescent="0.25" r="456" customHeight="1" ht="18.75">
      <c r="A456" s="4" t="s">
        <v>663</v>
      </c>
      <c r="B456" s="22">
        <v>500</v>
      </c>
      <c r="C456" s="19"/>
      <c r="D456" s="18"/>
      <c r="E456" s="20"/>
      <c r="F456" s="20"/>
      <c r="G456" s="20"/>
      <c r="H456" s="20"/>
      <c r="I456" s="19"/>
      <c r="J456" s="20"/>
      <c r="K456" s="22">
        <f>450000/6</f>
      </c>
      <c r="L456" s="21"/>
      <c r="M456" s="22">
        <v>1</v>
      </c>
      <c r="N456" s="23">
        <f>26567.48+37194.47+10000</f>
      </c>
    </row>
    <row x14ac:dyDescent="0.25" r="457" customHeight="1" ht="18.75">
      <c r="A457" s="4" t="s">
        <v>664</v>
      </c>
      <c r="B457" s="22">
        <v>127000</v>
      </c>
      <c r="C457" s="19"/>
      <c r="D457" s="18"/>
      <c r="E457" s="20"/>
      <c r="F457" s="20"/>
      <c r="G457" s="20" t="s">
        <v>665</v>
      </c>
      <c r="H457" s="20" t="s">
        <v>666</v>
      </c>
      <c r="I457" s="19"/>
      <c r="J457" s="20"/>
      <c r="K457" s="20"/>
      <c r="L457" s="21"/>
      <c r="M457" s="22">
        <v>1</v>
      </c>
      <c r="N457" s="22">
        <f>22440</f>
      </c>
    </row>
    <row x14ac:dyDescent="0.25" r="458" customHeight="1" ht="18.75">
      <c r="A458" s="4" t="s">
        <v>667</v>
      </c>
      <c r="B458" s="23">
        <v>210652.47</v>
      </c>
      <c r="C458" s="23">
        <f>8147.25+3900.83</f>
      </c>
      <c r="D458" s="18"/>
      <c r="E458" s="22">
        <v>210</v>
      </c>
      <c r="F458" s="22">
        <v>415800</v>
      </c>
      <c r="G458" s="20"/>
      <c r="H458" s="20"/>
      <c r="I458" s="23">
        <v>15.732</v>
      </c>
      <c r="J458" s="22">
        <v>650000</v>
      </c>
      <c r="K458" s="22">
        <v>50000</v>
      </c>
      <c r="L458" s="21"/>
      <c r="M458" s="22">
        <v>1</v>
      </c>
      <c r="N458" s="18"/>
    </row>
    <row x14ac:dyDescent="0.25" r="459" customHeight="1" ht="18.75">
      <c r="A459" s="4" t="s">
        <v>668</v>
      </c>
      <c r="B459" s="22">
        <v>130000</v>
      </c>
      <c r="C459" s="23">
        <f>462.91+1094.73+449.56</f>
      </c>
      <c r="D459" s="18"/>
      <c r="E459" s="20"/>
      <c r="F459" s="20"/>
      <c r="G459" s="22">
        <v>96</v>
      </c>
      <c r="H459" s="22">
        <v>1250000</v>
      </c>
      <c r="I459" s="19"/>
      <c r="J459" s="20"/>
      <c r="K459" s="20"/>
      <c r="L459" s="21"/>
      <c r="M459" s="22">
        <v>1</v>
      </c>
      <c r="N459" s="22">
        <f>550000</f>
      </c>
    </row>
    <row x14ac:dyDescent="0.25" r="460" customHeight="1" ht="18.75">
      <c r="A460" s="4" t="s">
        <v>669</v>
      </c>
      <c r="B460" s="23">
        <f>136754.91</f>
      </c>
      <c r="C460" s="23">
        <f>33942.06</f>
      </c>
      <c r="D460" s="23">
        <f>440398.95+47939.48+33942.06</f>
      </c>
      <c r="E460" s="22">
        <v>46</v>
      </c>
      <c r="F460" s="22">
        <v>103400</v>
      </c>
      <c r="G460" s="22">
        <v>47</v>
      </c>
      <c r="H460" s="22">
        <v>540000</v>
      </c>
      <c r="I460" s="23">
        <v>0.2594</v>
      </c>
      <c r="J460" s="22">
        <v>53000</v>
      </c>
      <c r="K460" s="22">
        <f>53000</f>
      </c>
      <c r="L460" s="21"/>
      <c r="M460" s="22">
        <v>0</v>
      </c>
      <c r="N460" s="18"/>
    </row>
    <row x14ac:dyDescent="0.25" r="461" customHeight="1" ht="18.75">
      <c r="A461" s="4" t="s">
        <v>670</v>
      </c>
      <c r="B461" s="22">
        <f>124000</f>
      </c>
      <c r="C461" s="19"/>
      <c r="D461" s="18"/>
      <c r="E461" s="22">
        <v>250</v>
      </c>
      <c r="F461" s="22">
        <v>300000</v>
      </c>
      <c r="G461" s="23">
        <v>41.7</v>
      </c>
      <c r="H461" s="22">
        <v>160000</v>
      </c>
      <c r="I461" s="23">
        <v>5.01</v>
      </c>
      <c r="J461" s="22">
        <v>120000</v>
      </c>
      <c r="K461" s="20"/>
      <c r="L461" s="21"/>
      <c r="M461" s="22">
        <v>2</v>
      </c>
      <c r="N461" s="18"/>
    </row>
    <row x14ac:dyDescent="0.25" r="462" customHeight="1" ht="18.75">
      <c r="A462" s="4" t="s">
        <v>671</v>
      </c>
      <c r="B462" s="22">
        <v>161000</v>
      </c>
      <c r="C462" s="19"/>
      <c r="D462" s="18"/>
      <c r="E462" s="20"/>
      <c r="F462" s="20"/>
      <c r="G462" s="20"/>
      <c r="H462" s="20"/>
      <c r="I462" s="19"/>
      <c r="J462" s="20"/>
      <c r="K462" s="22">
        <f>21000+9000</f>
      </c>
      <c r="L462" s="21"/>
      <c r="M462" s="22">
        <v>1</v>
      </c>
      <c r="N462" s="23">
        <v>74845.15</v>
      </c>
    </row>
    <row x14ac:dyDescent="0.25" r="463" customHeight="1" ht="18.75">
      <c r="A463" s="4" t="s">
        <v>672</v>
      </c>
      <c r="B463" s="22">
        <v>18500</v>
      </c>
      <c r="C463" s="23">
        <f>385085.99+1391.14</f>
      </c>
      <c r="D463" s="23">
        <f>146.21+33175.25</f>
      </c>
      <c r="E463" s="23">
        <v>165.8</v>
      </c>
      <c r="F463" s="22">
        <v>1480000</v>
      </c>
      <c r="G463" s="20"/>
      <c r="H463" s="20"/>
      <c r="I463" s="19"/>
      <c r="J463" s="20"/>
      <c r="K463" s="22">
        <f>83001/3+15000</f>
      </c>
      <c r="L463" s="21"/>
      <c r="M463" s="22">
        <v>1</v>
      </c>
      <c r="N463" s="23">
        <f>38780.19+30600</f>
      </c>
    </row>
    <row x14ac:dyDescent="0.25" r="464" customHeight="1" ht="18.75">
      <c r="A464" s="4" t="s">
        <v>673</v>
      </c>
      <c r="B464" s="23">
        <f>17765.85+466846.64</f>
      </c>
      <c r="C464" s="23">
        <v>100.08</v>
      </c>
      <c r="D464" s="23">
        <f>175183.21+37360.61+74633.71</f>
      </c>
      <c r="E464" s="20"/>
      <c r="F464" s="20"/>
      <c r="G464" s="23">
        <v>52.9</v>
      </c>
      <c r="H464" s="22">
        <v>470000</v>
      </c>
      <c r="I464" s="19"/>
      <c r="J464" s="20"/>
      <c r="K464" s="22">
        <f>400000</f>
      </c>
      <c r="L464" s="22">
        <f>1161+2277</f>
      </c>
      <c r="M464" s="22">
        <v>3</v>
      </c>
      <c r="N464" s="23">
        <f>314998.79</f>
      </c>
    </row>
    <row x14ac:dyDescent="0.25" r="465" customHeight="1" ht="18.75">
      <c r="A465" s="4" t="s">
        <v>674</v>
      </c>
      <c r="B465" s="23">
        <v>75741.21</v>
      </c>
      <c r="C465" s="19"/>
      <c r="D465" s="18"/>
      <c r="E465" s="23">
        <v>133.15</v>
      </c>
      <c r="F465" s="22">
        <v>646000</v>
      </c>
      <c r="G465" s="22">
        <v>125</v>
      </c>
      <c r="H465" s="22">
        <v>540000</v>
      </c>
      <c r="I465" s="23">
        <v>0.73</v>
      </c>
      <c r="J465" s="22">
        <v>135000</v>
      </c>
      <c r="K465" s="22">
        <f>125000+50000+150000</f>
      </c>
      <c r="L465" s="21"/>
      <c r="M465" s="22">
        <v>0</v>
      </c>
      <c r="N465" s="23">
        <f>199251.35+12053</f>
      </c>
    </row>
    <row x14ac:dyDescent="0.25" r="466" customHeight="1" ht="18.75">
      <c r="A466" s="4" t="s">
        <v>675</v>
      </c>
      <c r="B466" s="22">
        <v>59000</v>
      </c>
      <c r="C466" s="19"/>
      <c r="D466" s="18"/>
      <c r="E466" s="20"/>
      <c r="F466" s="20"/>
      <c r="G466" s="22">
        <v>64</v>
      </c>
      <c r="H466" s="22">
        <v>240000</v>
      </c>
      <c r="I466" s="19"/>
      <c r="J466" s="20"/>
      <c r="K466" s="20"/>
      <c r="L466" s="21"/>
      <c r="M466" s="22">
        <v>1</v>
      </c>
      <c r="N466" s="23">
        <f>305700.84</f>
      </c>
    </row>
    <row x14ac:dyDescent="0.25" r="467" customHeight="1" ht="18.75">
      <c r="A467" s="4" t="s">
        <v>676</v>
      </c>
      <c r="B467" s="22">
        <v>110000</v>
      </c>
      <c r="C467" s="23">
        <v>620302.08</v>
      </c>
      <c r="D467" s="18"/>
      <c r="E467" s="20"/>
      <c r="F467" s="20"/>
      <c r="G467" s="20"/>
      <c r="H467" s="20"/>
      <c r="I467" s="19"/>
      <c r="J467" s="20"/>
      <c r="K467" s="22">
        <f>800000+80000</f>
      </c>
      <c r="L467" s="21"/>
      <c r="M467" s="22">
        <v>1</v>
      </c>
      <c r="N467" s="18"/>
    </row>
    <row x14ac:dyDescent="0.25" r="468" customHeight="1" ht="18.75">
      <c r="A468" s="4" t="s">
        <v>677</v>
      </c>
      <c r="B468" s="18"/>
      <c r="C468" s="19"/>
      <c r="D468" s="18"/>
      <c r="E468" s="22">
        <v>187</v>
      </c>
      <c r="F468" s="22">
        <v>500000</v>
      </c>
      <c r="G468" s="20"/>
      <c r="H468" s="20"/>
      <c r="I468" s="19"/>
      <c r="J468" s="20"/>
      <c r="K468" s="22">
        <v>150000</v>
      </c>
      <c r="L468" s="21"/>
      <c r="M468" s="22">
        <v>1</v>
      </c>
      <c r="N468" s="23">
        <f>20100+421750+20443.64</f>
      </c>
    </row>
    <row x14ac:dyDescent="0.25" r="469" customHeight="1" ht="18.75">
      <c r="A469" s="4" t="s">
        <v>678</v>
      </c>
      <c r="B469" s="22">
        <v>410000</v>
      </c>
      <c r="C469" s="23">
        <f>7638.05+6574.43</f>
      </c>
      <c r="D469" s="18"/>
      <c r="E469" s="20"/>
      <c r="F469" s="20"/>
      <c r="G469" s="20"/>
      <c r="H469" s="20"/>
      <c r="I469" s="19"/>
      <c r="J469" s="20"/>
      <c r="K469" s="22">
        <v>100000</v>
      </c>
      <c r="L469" s="23">
        <v>52420.93</v>
      </c>
      <c r="M469" s="22">
        <v>1</v>
      </c>
      <c r="N469" s="18"/>
    </row>
    <row x14ac:dyDescent="0.25" r="470" customHeight="1" ht="18.75">
      <c r="A470" s="4" t="s">
        <v>679</v>
      </c>
      <c r="B470" s="23">
        <v>56286.97</v>
      </c>
      <c r="C470" s="19"/>
      <c r="D470" s="18"/>
      <c r="E470" s="22">
        <v>150</v>
      </c>
      <c r="F470" s="22">
        <v>900000</v>
      </c>
      <c r="G470" s="22">
        <v>47</v>
      </c>
      <c r="H470" s="22">
        <v>500000</v>
      </c>
      <c r="I470" s="23">
        <v>5.53</v>
      </c>
      <c r="J470" s="22">
        <v>55000</v>
      </c>
      <c r="K470" s="22">
        <f>12000+9000+410000</f>
      </c>
      <c r="L470" s="21"/>
      <c r="M470" s="22">
        <v>3</v>
      </c>
      <c r="N470" s="18"/>
    </row>
    <row x14ac:dyDescent="0.25" r="471" customHeight="1" ht="18.75">
      <c r="A471" s="4" t="s">
        <v>680</v>
      </c>
      <c r="B471" s="22">
        <v>14200000</v>
      </c>
      <c r="C471" s="23">
        <v>925.82</v>
      </c>
      <c r="D471" s="18"/>
      <c r="E471" s="22">
        <v>220</v>
      </c>
      <c r="F471" s="22">
        <v>480000</v>
      </c>
      <c r="G471" s="20"/>
      <c r="H471" s="20"/>
      <c r="I471" s="19"/>
      <c r="J471" s="20"/>
      <c r="K471" s="22">
        <v>20000</v>
      </c>
      <c r="L471" s="22">
        <v>4342</v>
      </c>
      <c r="M471" s="22">
        <v>2</v>
      </c>
      <c r="N471" s="18"/>
    </row>
    <row x14ac:dyDescent="0.25" r="472" customHeight="1" ht="18.75">
      <c r="A472" s="4" t="s">
        <v>681</v>
      </c>
      <c r="B472" s="23">
        <f>4081.35+7287.2</f>
      </c>
      <c r="C472" s="19"/>
      <c r="D472" s="23">
        <f>221929.41+22097.01</f>
      </c>
      <c r="E472" s="20"/>
      <c r="F472" s="20"/>
      <c r="G472" s="20"/>
      <c r="H472" s="20"/>
      <c r="I472" s="19"/>
      <c r="J472" s="20"/>
      <c r="K472" s="20"/>
      <c r="L472" s="22">
        <v>1056210</v>
      </c>
      <c r="M472" s="22">
        <v>1</v>
      </c>
      <c r="N472" s="23">
        <f>110201.3+19000+15000+114518.48</f>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heetPr>
  <dimension ref="A1:E14"/>
  <sheetViews>
    <sheetView workbookViewId="0"/>
  </sheetViews>
  <sheetFormatPr defaultRowHeight="15" x14ac:dyDescent="0.25"/>
  <cols>
    <col min="1" max="1" style="16" width="19.862142857142857" customWidth="1" bestFit="1"/>
    <col min="2" max="2" style="16" width="13.576428571428572" customWidth="1" bestFit="1"/>
    <col min="3" max="3" style="17" width="59.43357142857143" customWidth="1" bestFit="1"/>
    <col min="4" max="4" style="16" width="4.862142857142857" customWidth="1" bestFit="1"/>
    <col min="5" max="5" style="17" width="112.14785714285713" customWidth="1" bestFit="1"/>
  </cols>
  <sheetData>
    <row x14ac:dyDescent="0.25" r="1" customHeight="1" ht="18.75">
      <c r="A1" s="1" t="s">
        <v>0</v>
      </c>
      <c r="B1" s="2" t="s">
        <v>1</v>
      </c>
      <c r="C1" s="3" t="s">
        <v>2</v>
      </c>
      <c r="D1" s="4"/>
      <c r="E1" s="5" t="s">
        <v>3</v>
      </c>
    </row>
    <row x14ac:dyDescent="0.25" r="2" customHeight="1" ht="18.75">
      <c r="A2" s="6" t="s">
        <v>4</v>
      </c>
      <c r="B2" s="7" t="s">
        <v>5</v>
      </c>
      <c r="C2" s="8" t="s">
        <v>6</v>
      </c>
      <c r="D2" s="4"/>
      <c r="E2" s="5"/>
    </row>
    <row x14ac:dyDescent="0.25" r="3" customHeight="1" ht="18.75">
      <c r="A3" s="9" t="s">
        <v>7</v>
      </c>
      <c r="B3" s="10" t="s">
        <v>5</v>
      </c>
      <c r="C3" s="11" t="s">
        <v>8</v>
      </c>
      <c r="D3" s="4"/>
      <c r="E3" s="12" t="s">
        <v>9</v>
      </c>
    </row>
    <row x14ac:dyDescent="0.25" r="4" customHeight="1" ht="18.75">
      <c r="A4" s="9" t="s">
        <v>10</v>
      </c>
      <c r="B4" s="10" t="s">
        <v>5</v>
      </c>
      <c r="C4" s="11" t="s">
        <v>11</v>
      </c>
      <c r="D4" s="4"/>
      <c r="E4" s="5"/>
    </row>
    <row x14ac:dyDescent="0.25" r="5" customHeight="1" ht="18.75">
      <c r="A5" s="9" t="s">
        <v>12</v>
      </c>
      <c r="B5" s="10" t="s">
        <v>13</v>
      </c>
      <c r="C5" s="11" t="s">
        <v>14</v>
      </c>
      <c r="D5" s="4"/>
      <c r="E5" s="5"/>
    </row>
    <row x14ac:dyDescent="0.25" r="6" customHeight="1" ht="18.75">
      <c r="A6" s="9" t="s">
        <v>15</v>
      </c>
      <c r="B6" s="10" t="s">
        <v>5</v>
      </c>
      <c r="C6" s="11" t="s">
        <v>16</v>
      </c>
      <c r="D6" s="4"/>
      <c r="E6" s="5"/>
    </row>
    <row x14ac:dyDescent="0.25" r="7" customHeight="1" ht="18.75">
      <c r="A7" s="9" t="s">
        <v>17</v>
      </c>
      <c r="B7" s="10" t="s">
        <v>13</v>
      </c>
      <c r="C7" s="11" t="s">
        <v>18</v>
      </c>
      <c r="D7" s="4"/>
      <c r="E7" s="5"/>
    </row>
    <row x14ac:dyDescent="0.25" r="8" customHeight="1" ht="18.75">
      <c r="A8" s="9" t="s">
        <v>19</v>
      </c>
      <c r="B8" s="10" t="s">
        <v>5</v>
      </c>
      <c r="C8" s="11" t="s">
        <v>20</v>
      </c>
      <c r="D8" s="4"/>
      <c r="E8" s="5"/>
    </row>
    <row x14ac:dyDescent="0.25" r="9" customHeight="1" ht="18.75">
      <c r="A9" s="9" t="s">
        <v>21</v>
      </c>
      <c r="B9" s="10" t="s">
        <v>22</v>
      </c>
      <c r="C9" s="11" t="s">
        <v>23</v>
      </c>
      <c r="D9" s="4"/>
      <c r="E9" s="5"/>
    </row>
    <row x14ac:dyDescent="0.25" r="10" customHeight="1" ht="18.75">
      <c r="A10" s="9" t="s">
        <v>24</v>
      </c>
      <c r="B10" s="10" t="s">
        <v>5</v>
      </c>
      <c r="C10" s="11" t="s">
        <v>25</v>
      </c>
      <c r="D10" s="4"/>
      <c r="E10" s="5"/>
    </row>
    <row x14ac:dyDescent="0.25" r="11" customHeight="1" ht="18.75">
      <c r="A11" s="9" t="s">
        <v>26</v>
      </c>
      <c r="B11" s="10" t="s">
        <v>5</v>
      </c>
      <c r="C11" s="11" t="s">
        <v>27</v>
      </c>
      <c r="D11" s="4"/>
      <c r="E11" s="5"/>
    </row>
    <row x14ac:dyDescent="0.25" r="12" customHeight="1" ht="18.75">
      <c r="A12" s="9" t="s">
        <v>28</v>
      </c>
      <c r="B12" s="10" t="s">
        <v>5</v>
      </c>
      <c r="C12" s="11" t="s">
        <v>29</v>
      </c>
      <c r="D12" s="4"/>
      <c r="E12" s="5"/>
    </row>
    <row x14ac:dyDescent="0.25" r="13" customHeight="1" ht="18.75">
      <c r="A13" s="9" t="s">
        <v>30</v>
      </c>
      <c r="B13" s="10" t="s">
        <v>31</v>
      </c>
      <c r="C13" s="11" t="s">
        <v>32</v>
      </c>
      <c r="D13" s="4"/>
      <c r="E13" s="5"/>
    </row>
    <row x14ac:dyDescent="0.25" r="14" customHeight="1" ht="18.75">
      <c r="A14" s="13" t="s">
        <v>33</v>
      </c>
      <c r="B14" s="14" t="s">
        <v>5</v>
      </c>
      <c r="C14" s="15" t="s">
        <v>34</v>
      </c>
      <c r="D14" s="4"/>
      <c r="E14" s="5"/>
    </row>
  </sheetData>
  <pageMargins left="0.7" right="0.7" top="0.75" bottom="0.75" header="0.3" footer="0.3"/>
</worksheet>
</file>

<file path=docProps/app.xml><?xml version="1.0" encoding="utf-8"?>
<Properties xmlns:vt="http://schemas.openxmlformats.org/officeDocument/2006/docPropsVTypes" xmlns="http://schemas.openxmlformats.org/officeDocument/2006/extended-properties">
  <Application>wijmo.xlsx</Application>
  <DocSecurity>0</DocSecurity>
  <ScaleCrop>false</ScaleCrop>
  <HeadingPairs>
    <vt:vector baseType="variant" size="2">
      <vt:variant>
        <vt:lpstr>Worksheets</vt:lpstr>
      </vt:variant>
      <vt:variant>
        <vt:i4>2</vt:i4>
      </vt:variant>
    </vt:vector>
  </HeadingPairs>
  <TitlesOfParts>
    <vt:vector baseType="lpstr" size="2">
      <vt:lpstr>assets</vt:lpstr>
      <vt:lpstr>META</vt:lpstr>
    </vt:vector>
  </TitlesOfParts>
  <Manager/>
  <Company>GrapeCity, Inc.</Company>
  <LinksUpToDate>false</LinksUpToDate>
  <SharedDoc>false</SharedDoc>
  <HyperlinksChanged>false</HyperlinksChanged>
  <AppVersion>1.0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2022-06-04T12:57:52.658Z</dcterms:created>
  <dcterms:modified xsi:type="dcterms:W3CDTF">2022-06-04T12:57:52.658Z</dcterms:modified>
</cp:coreProperties>
</file>