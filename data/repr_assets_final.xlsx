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https://putpoznanpl-my.sharepoint.com/personal/bartosz_stachowiak_student_put_poznan_pl/Documents/Semestr IV/Data Viz/Assignment_4/Dash/data/"/>
    </mc:Choice>
  </mc:AlternateContent>
  <xr:revisionPtr revIDLastSave="4" documentId="8_{6F670403-4D8A-44B9-B11E-7F5F30783EBF}" xr6:coauthVersionLast="47" xr6:coauthVersionMax="48" xr10:uidLastSave="{7AB88C6A-C152-40CA-873D-2EBDB513AA04}"/>
  <bookViews>
    <workbookView xWindow="-110" yWindow="-110" windowWidth="21820" windowHeight="13900" firstSheet="1" xr2:uid="{00000000-000D-0000-FFFF-FFFF00000000}"/>
  </bookViews>
  <sheets>
    <sheet name="assets" sheetId="1" r:id="rId1"/>
    <sheet name="ME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407" i="1" l="1"/>
  <c r="B407" i="1"/>
  <c r="N408" i="1"/>
  <c r="K408" i="1"/>
  <c r="K410" i="1"/>
  <c r="D410" i="1"/>
  <c r="C403" i="1"/>
  <c r="C410" i="1"/>
  <c r="B410" i="1"/>
  <c r="N411" i="1"/>
  <c r="N412" i="1"/>
  <c r="C402" i="1"/>
  <c r="N401" i="1"/>
  <c r="K401" i="1"/>
  <c r="D400" i="1"/>
  <c r="C400" i="1"/>
  <c r="B398" i="1"/>
  <c r="N395" i="1"/>
  <c r="C413" i="1"/>
  <c r="C395" i="1"/>
  <c r="N414" i="1"/>
  <c r="N392" i="1"/>
  <c r="C392" i="1"/>
  <c r="N391" i="1"/>
  <c r="K416" i="1"/>
  <c r="N390" i="1"/>
  <c r="N387" i="1"/>
  <c r="B387" i="1"/>
  <c r="C386" i="1"/>
  <c r="N385" i="1"/>
  <c r="D384" i="1"/>
  <c r="C384" i="1"/>
  <c r="D383" i="1"/>
  <c r="C383" i="1"/>
  <c r="N381" i="1"/>
  <c r="K381" i="1"/>
  <c r="D381" i="1"/>
  <c r="C381" i="1"/>
  <c r="N417" i="1"/>
  <c r="N379" i="1"/>
  <c r="K379" i="1"/>
  <c r="C378" i="1"/>
  <c r="N377" i="1"/>
  <c r="D377" i="1"/>
  <c r="C377" i="1"/>
  <c r="K418" i="1"/>
  <c r="N376" i="1"/>
  <c r="C376" i="1"/>
  <c r="B376" i="1"/>
  <c r="N419" i="1"/>
  <c r="N375" i="1"/>
  <c r="I419" i="1"/>
  <c r="C374" i="1"/>
  <c r="B374" i="1"/>
  <c r="N373" i="1"/>
  <c r="C373" i="1"/>
  <c r="D420" i="1"/>
  <c r="N421" i="1"/>
  <c r="K421" i="1"/>
  <c r="B421" i="1"/>
  <c r="N427" i="1"/>
  <c r="N428" i="1"/>
  <c r="K428" i="1"/>
  <c r="N429" i="1"/>
  <c r="K429" i="1"/>
  <c r="K432" i="1"/>
  <c r="D432" i="1"/>
  <c r="B432" i="1"/>
  <c r="N433" i="1"/>
  <c r="N438" i="1"/>
  <c r="N439" i="1"/>
  <c r="C440" i="1"/>
  <c r="N442" i="1"/>
  <c r="N443" i="1"/>
  <c r="L443" i="1"/>
  <c r="N444" i="1"/>
  <c r="K444" i="1"/>
  <c r="N445" i="1"/>
  <c r="N446" i="1"/>
  <c r="K446" i="1"/>
  <c r="C446" i="1"/>
  <c r="K447" i="1"/>
  <c r="K449" i="1"/>
  <c r="N451" i="1"/>
  <c r="K451" i="1"/>
  <c r="K455" i="1"/>
  <c r="C372" i="1"/>
  <c r="N371" i="1"/>
  <c r="D371" i="1"/>
  <c r="C371" i="1"/>
  <c r="K370" i="1"/>
  <c r="C370" i="1"/>
  <c r="B370" i="1"/>
  <c r="N368" i="1"/>
  <c r="K368" i="1"/>
  <c r="N367" i="1"/>
  <c r="N366" i="1"/>
  <c r="C366" i="1"/>
  <c r="N365" i="1"/>
  <c r="K365" i="1"/>
  <c r="N364" i="1"/>
  <c r="B364" i="1"/>
  <c r="N363" i="1"/>
  <c r="K363" i="1"/>
  <c r="C362" i="1"/>
  <c r="N361" i="1"/>
  <c r="K361" i="1"/>
  <c r="N360" i="1"/>
  <c r="K360" i="1"/>
  <c r="D360" i="1"/>
  <c r="C360" i="1"/>
  <c r="K359" i="1"/>
  <c r="C359" i="1"/>
  <c r="N358" i="1"/>
  <c r="N357" i="1"/>
  <c r="N356" i="1"/>
  <c r="K356" i="1"/>
  <c r="C356" i="1"/>
  <c r="N355" i="1"/>
  <c r="K355" i="1"/>
  <c r="N354" i="1"/>
  <c r="N352" i="1"/>
  <c r="N350" i="1"/>
  <c r="K349" i="1"/>
  <c r="D349" i="1"/>
  <c r="C349" i="1"/>
  <c r="N348" i="1"/>
  <c r="B348" i="1"/>
  <c r="D347" i="1"/>
  <c r="K345" i="1"/>
  <c r="J345" i="1"/>
  <c r="I345" i="1"/>
  <c r="D345" i="1"/>
  <c r="C345" i="1"/>
  <c r="N344" i="1"/>
  <c r="K343" i="1"/>
  <c r="C343" i="1"/>
  <c r="N342" i="1"/>
  <c r="N340" i="1"/>
  <c r="J339" i="1"/>
  <c r="N337" i="1"/>
  <c r="K337" i="1"/>
  <c r="N336" i="1"/>
  <c r="B336" i="1"/>
  <c r="N335" i="1"/>
  <c r="C335" i="1"/>
  <c r="N334" i="1"/>
  <c r="K334" i="1"/>
  <c r="I334" i="1"/>
  <c r="N333" i="1"/>
  <c r="N332" i="1"/>
  <c r="K331" i="1"/>
  <c r="C329" i="1"/>
  <c r="K328" i="1"/>
  <c r="D328" i="1"/>
  <c r="C328" i="1"/>
  <c r="B328" i="1"/>
  <c r="N327" i="1"/>
  <c r="K327" i="1"/>
  <c r="K326" i="1"/>
  <c r="N325" i="1"/>
  <c r="C325" i="1"/>
  <c r="C324" i="1"/>
  <c r="N323" i="1"/>
  <c r="K322" i="1"/>
  <c r="C322" i="1"/>
  <c r="N319" i="1"/>
  <c r="C319" i="1"/>
  <c r="N318" i="1"/>
  <c r="C318" i="1"/>
  <c r="K317" i="1"/>
  <c r="C317" i="1"/>
  <c r="H316" i="1"/>
  <c r="N315" i="1"/>
  <c r="K315" i="1"/>
  <c r="C315" i="1"/>
  <c r="N314" i="1"/>
  <c r="N313" i="1"/>
  <c r="D313" i="1"/>
  <c r="C313" i="1"/>
  <c r="C312" i="1"/>
  <c r="B312" i="1"/>
  <c r="C311" i="1"/>
  <c r="K310" i="1"/>
  <c r="C310" i="1"/>
  <c r="N309" i="1"/>
  <c r="N308" i="1"/>
  <c r="C308" i="1"/>
  <c r="N307" i="1"/>
  <c r="N306" i="1"/>
  <c r="C306" i="1"/>
  <c r="N305" i="1"/>
  <c r="K305" i="1"/>
  <c r="B305" i="1"/>
  <c r="B304" i="1"/>
  <c r="N303" i="1"/>
  <c r="C303" i="1"/>
  <c r="K302" i="1"/>
  <c r="N301" i="1"/>
  <c r="N456" i="1"/>
  <c r="K456" i="1"/>
  <c r="N457" i="1"/>
  <c r="C458" i="1"/>
  <c r="N459" i="1"/>
  <c r="C459" i="1"/>
  <c r="K460" i="1"/>
  <c r="D460" i="1"/>
  <c r="C460" i="1"/>
  <c r="B460" i="1"/>
  <c r="B461" i="1"/>
  <c r="K462" i="1"/>
  <c r="N463" i="1"/>
  <c r="K463" i="1"/>
  <c r="D463" i="1"/>
  <c r="C463" i="1"/>
  <c r="N464" i="1"/>
  <c r="L464" i="1"/>
  <c r="K464" i="1"/>
  <c r="D464" i="1"/>
  <c r="B464" i="1"/>
  <c r="N465" i="1"/>
  <c r="K465" i="1"/>
  <c r="N466" i="1"/>
  <c r="K467" i="1"/>
  <c r="N468" i="1"/>
  <c r="N300" i="1"/>
  <c r="C299" i="1"/>
  <c r="B298" i="1"/>
  <c r="N297" i="1"/>
  <c r="N295" i="1"/>
  <c r="N294" i="1"/>
  <c r="K294" i="1"/>
  <c r="N293" i="1"/>
  <c r="K291" i="1"/>
  <c r="N291" i="1"/>
  <c r="C291" i="1"/>
  <c r="C286" i="1"/>
  <c r="N284" i="1"/>
  <c r="N283" i="1"/>
  <c r="C282" i="1"/>
  <c r="N279" i="1"/>
  <c r="K277" i="1"/>
  <c r="N275" i="1"/>
  <c r="K275" i="1"/>
  <c r="B275" i="1"/>
  <c r="C274" i="1"/>
  <c r="B274" i="1"/>
  <c r="D272" i="1"/>
  <c r="N270" i="1"/>
  <c r="C270" i="1"/>
  <c r="B269" i="1"/>
  <c r="D269" i="1"/>
  <c r="N269" i="1"/>
  <c r="C469" i="1"/>
  <c r="K267" i="1"/>
  <c r="K470" i="1"/>
  <c r="N265" i="1"/>
  <c r="N472" i="1"/>
  <c r="D264" i="1"/>
  <c r="C264" i="1"/>
  <c r="D472" i="1"/>
  <c r="B472" i="1"/>
  <c r="D261" i="1"/>
  <c r="N260" i="1"/>
  <c r="N259" i="1"/>
  <c r="C259" i="1"/>
  <c r="B259" i="1"/>
  <c r="N258" i="1"/>
  <c r="K258" i="1"/>
  <c r="K257" i="1"/>
  <c r="D257" i="1"/>
  <c r="L255" i="1"/>
  <c r="B255" i="1"/>
  <c r="C253" i="1"/>
  <c r="K251" i="1"/>
  <c r="C251" i="1"/>
  <c r="N250" i="1"/>
  <c r="N249" i="1"/>
  <c r="N248" i="1"/>
  <c r="B248" i="1"/>
  <c r="N247" i="1"/>
  <c r="C247" i="1"/>
  <c r="N245" i="1"/>
  <c r="K244" i="1"/>
  <c r="N244" i="1"/>
  <c r="N241" i="1"/>
  <c r="K241" i="1"/>
  <c r="D241" i="1"/>
  <c r="B241" i="1"/>
  <c r="I240" i="1"/>
  <c r="N216" i="1"/>
  <c r="N238" i="1"/>
  <c r="K237" i="1"/>
  <c r="N236" i="1"/>
  <c r="C235" i="1"/>
  <c r="K234" i="1"/>
  <c r="N232" i="1"/>
  <c r="K232" i="1"/>
  <c r="C232" i="1"/>
  <c r="D231" i="1"/>
  <c r="N230" i="1"/>
  <c r="B229" i="1"/>
  <c r="N226" i="1"/>
  <c r="B225" i="1"/>
  <c r="L224" i="1"/>
  <c r="D224" i="1"/>
  <c r="N223" i="1"/>
  <c r="K223" i="1"/>
  <c r="C223" i="1"/>
  <c r="N222" i="1"/>
  <c r="D221" i="1"/>
  <c r="B219" i="1"/>
  <c r="N218" i="1"/>
  <c r="N217" i="1"/>
  <c r="K216" i="1"/>
  <c r="N213" i="1"/>
  <c r="K213" i="1"/>
  <c r="C213" i="1"/>
  <c r="B213" i="1"/>
  <c r="N212" i="1"/>
  <c r="D210" i="1"/>
  <c r="C210" i="1"/>
  <c r="N208" i="1"/>
  <c r="L209" i="1"/>
  <c r="N207" i="1"/>
  <c r="N206" i="1"/>
  <c r="N204" i="1"/>
  <c r="K204" i="1"/>
  <c r="N203" i="1"/>
  <c r="N202" i="1"/>
  <c r="K201" i="1"/>
  <c r="C201" i="1"/>
  <c r="B200" i="1"/>
  <c r="N199" i="1"/>
  <c r="C197" i="1"/>
  <c r="N196" i="1"/>
  <c r="C196" i="1"/>
  <c r="I195" i="1"/>
  <c r="C195" i="1"/>
  <c r="K194" i="1"/>
  <c r="N192" i="1"/>
  <c r="C192" i="1"/>
  <c r="N191" i="1"/>
  <c r="B191" i="1"/>
  <c r="N190" i="1"/>
  <c r="K190" i="1"/>
  <c r="N189" i="1"/>
  <c r="K189" i="1"/>
  <c r="B189" i="1"/>
  <c r="K188" i="1"/>
  <c r="K187" i="1"/>
  <c r="N186" i="1"/>
  <c r="C186" i="1"/>
  <c r="N185" i="1"/>
  <c r="B185" i="1"/>
  <c r="C184" i="1"/>
  <c r="K183" i="1"/>
  <c r="B183" i="1"/>
  <c r="N182" i="1"/>
  <c r="K182" i="1"/>
  <c r="D182" i="1"/>
  <c r="C181" i="1"/>
  <c r="D180" i="1"/>
  <c r="C180" i="1"/>
  <c r="N179" i="1"/>
  <c r="D179" i="1"/>
  <c r="K178" i="1"/>
  <c r="N177" i="1"/>
  <c r="D177" i="1"/>
  <c r="C177" i="1"/>
  <c r="C176" i="1"/>
  <c r="N175" i="1"/>
  <c r="K175" i="1"/>
  <c r="N174" i="1"/>
  <c r="N173" i="1"/>
  <c r="K173" i="1"/>
  <c r="B173" i="1"/>
  <c r="N172" i="1"/>
  <c r="K172" i="1"/>
  <c r="B172" i="1"/>
  <c r="K171" i="1"/>
  <c r="N171" i="1"/>
  <c r="C171" i="1"/>
  <c r="B171" i="1"/>
  <c r="N170" i="1"/>
  <c r="D170" i="1"/>
  <c r="C170" i="1"/>
  <c r="N169" i="1"/>
  <c r="K169" i="1"/>
  <c r="C169" i="1"/>
  <c r="N167" i="1"/>
  <c r="C166" i="1"/>
  <c r="N165" i="1"/>
  <c r="K165" i="1"/>
  <c r="N163" i="1"/>
  <c r="K163" i="1"/>
  <c r="C163" i="1"/>
  <c r="N162" i="1"/>
  <c r="K161" i="1"/>
  <c r="C161" i="1"/>
  <c r="N160" i="1"/>
  <c r="N159" i="1"/>
  <c r="K159" i="1"/>
  <c r="D158" i="1"/>
  <c r="C158" i="1"/>
  <c r="B158" i="1"/>
  <c r="N156" i="1"/>
  <c r="B156" i="1"/>
  <c r="N155" i="1"/>
  <c r="K155" i="1"/>
  <c r="N154" i="1"/>
  <c r="J153" i="1"/>
  <c r="I153" i="1"/>
  <c r="C151" i="1"/>
  <c r="B150" i="1"/>
  <c r="N149" i="1"/>
  <c r="N148" i="1"/>
  <c r="K148" i="1"/>
  <c r="D148" i="1"/>
  <c r="C148" i="1"/>
  <c r="B148" i="1"/>
  <c r="N147" i="1"/>
  <c r="D147" i="1"/>
  <c r="C147" i="1"/>
  <c r="B147" i="1"/>
  <c r="N146" i="1"/>
  <c r="K146" i="1"/>
  <c r="B146" i="1"/>
  <c r="N145" i="1"/>
  <c r="N144" i="1"/>
  <c r="K144" i="1"/>
  <c r="B144" i="1"/>
  <c r="N143" i="1"/>
  <c r="C143" i="1"/>
  <c r="N142" i="1"/>
  <c r="N141" i="1"/>
  <c r="N140" i="1"/>
  <c r="B140" i="1"/>
  <c r="N139" i="1"/>
  <c r="D139" i="1"/>
  <c r="N138" i="1"/>
  <c r="N137" i="1"/>
  <c r="C137" i="1"/>
  <c r="N136" i="1"/>
  <c r="K136" i="1"/>
  <c r="C136" i="1"/>
  <c r="N134" i="1"/>
  <c r="N133" i="1"/>
  <c r="K133" i="1"/>
  <c r="C133" i="1"/>
  <c r="N132" i="1"/>
  <c r="N131" i="1"/>
  <c r="N130" i="1"/>
  <c r="K130" i="1"/>
  <c r="K129" i="1"/>
  <c r="C127" i="1"/>
  <c r="N123" i="1"/>
  <c r="D123" i="1"/>
  <c r="K122" i="1"/>
  <c r="C122" i="1"/>
  <c r="N121" i="1"/>
  <c r="N116" i="1"/>
  <c r="N112" i="1"/>
  <c r="N110" i="1"/>
  <c r="C109" i="1"/>
  <c r="N108" i="1"/>
  <c r="K108" i="1"/>
  <c r="C107" i="1"/>
  <c r="K106" i="1"/>
  <c r="L105" i="1"/>
  <c r="D105" i="1"/>
  <c r="D104" i="1"/>
  <c r="N103" i="1"/>
  <c r="C103" i="1"/>
  <c r="N100" i="1"/>
  <c r="K100" i="1"/>
  <c r="N99" i="1"/>
  <c r="L99" i="1"/>
  <c r="C99" i="1"/>
  <c r="N98" i="1"/>
  <c r="C98" i="1"/>
  <c r="N97" i="1"/>
  <c r="C97" i="1"/>
  <c r="N96" i="1"/>
  <c r="N94" i="1"/>
  <c r="C94" i="1"/>
  <c r="N92" i="1"/>
  <c r="C92" i="1"/>
  <c r="C91" i="1"/>
  <c r="C90" i="1"/>
  <c r="N89" i="1"/>
  <c r="N88" i="1"/>
  <c r="B88" i="1"/>
  <c r="N87" i="1"/>
  <c r="K87" i="1"/>
  <c r="N86" i="1"/>
  <c r="K85" i="1"/>
  <c r="C85" i="1"/>
  <c r="B82" i="1"/>
  <c r="N80" i="1"/>
  <c r="N79" i="1"/>
  <c r="N77" i="1"/>
  <c r="K77" i="1"/>
  <c r="C77" i="1"/>
  <c r="C76" i="1"/>
  <c r="N74" i="1"/>
  <c r="N73" i="1"/>
  <c r="L73" i="1"/>
  <c r="K72" i="1"/>
  <c r="K71" i="1"/>
  <c r="D70" i="1"/>
  <c r="K67" i="1"/>
  <c r="N66" i="1"/>
  <c r="E65" i="1"/>
  <c r="B65" i="1"/>
  <c r="C62" i="1"/>
  <c r="B62" i="1"/>
  <c r="N61" i="1"/>
  <c r="B59" i="1"/>
  <c r="B57" i="1"/>
  <c r="B52" i="1"/>
  <c r="N51" i="1"/>
  <c r="K51" i="1"/>
  <c r="C51" i="1"/>
  <c r="C49" i="1"/>
  <c r="N49" i="1"/>
  <c r="J48" i="1"/>
  <c r="N46" i="1"/>
  <c r="C43" i="1"/>
  <c r="L41" i="1"/>
  <c r="B40" i="1"/>
  <c r="N39" i="1"/>
  <c r="N33" i="1"/>
  <c r="C32" i="1"/>
  <c r="B31" i="1"/>
  <c r="B30" i="1"/>
  <c r="C26" i="1"/>
  <c r="C25" i="1"/>
  <c r="N22" i="1"/>
  <c r="C17" i="1"/>
  <c r="K16" i="1"/>
  <c r="H16" i="1"/>
  <c r="C9" i="1"/>
  <c r="C6" i="1"/>
  <c r="D4" i="1"/>
  <c r="C2" i="1"/>
</calcChain>
</file>

<file path=xl/sharedStrings.xml><?xml version="1.0" encoding="utf-8"?>
<sst xmlns="http://schemas.openxmlformats.org/spreadsheetml/2006/main" count="705" uniqueCount="682">
  <si>
    <t>name</t>
  </si>
  <si>
    <t>cash_polish_currency</t>
  </si>
  <si>
    <t>cash_foreign_currency</t>
  </si>
  <si>
    <t>securites_value</t>
  </si>
  <si>
    <t>house_size</t>
  </si>
  <si>
    <t>house_value</t>
  </si>
  <si>
    <t>flat_size</t>
  </si>
  <si>
    <t>flat_value</t>
  </si>
  <si>
    <t>farm_estate_size</t>
  </si>
  <si>
    <t>farm_estate_value</t>
  </si>
  <si>
    <t>other_estates_value</t>
  </si>
  <si>
    <t>other_shares_value</t>
  </si>
  <si>
    <t>vehicles_count</t>
  </si>
  <si>
    <t>loans_value</t>
  </si>
  <si>
    <t>Adamczyk Andrzej</t>
  </si>
  <si>
    <t>Adamczyk Rafał</t>
  </si>
  <si>
    <t>Adamowicz Piotr</t>
  </si>
  <si>
    <t>68;46</t>
  </si>
  <si>
    <t>400000;300000</t>
  </si>
  <si>
    <t>Ajchler Romuald</t>
  </si>
  <si>
    <t>Ajchler Zbigniew</t>
  </si>
  <si>
    <t>Andruszkiewicz Adam</t>
  </si>
  <si>
    <t>Andzel Waldemar</t>
  </si>
  <si>
    <t>Aniśko Tomasz</t>
  </si>
  <si>
    <t>Ardanowski Jan Krzysztof</t>
  </si>
  <si>
    <t>Arent Iwona</t>
  </si>
  <si>
    <t>Ast Marek</t>
  </si>
  <si>
    <t>Augustyn Urszula</t>
  </si>
  <si>
    <t>Aziewicz Tadeusz</t>
  </si>
  <si>
    <t>59;48</t>
  </si>
  <si>
    <t>250000;150000</t>
  </si>
  <si>
    <t>Babalski Zbigniew</t>
  </si>
  <si>
    <t>Babinetz Piotr</t>
  </si>
  <si>
    <t>Bartosik Ryszard</t>
  </si>
  <si>
    <t>Bartoszewski Władysław Teofil</t>
  </si>
  <si>
    <t>Bartuś Barbara</t>
  </si>
  <si>
    <t>Baszko Mieczysław</t>
  </si>
  <si>
    <t>Bąk Dariusz</t>
  </si>
  <si>
    <t>Bejda Paweł</t>
  </si>
  <si>
    <t>Berkowicz Konrad</t>
  </si>
  <si>
    <t>Biejat Magdalena</t>
  </si>
  <si>
    <t>Bielecki Jerzy</t>
  </si>
  <si>
    <t>Biernacki Marek</t>
  </si>
  <si>
    <t>Błaszczak Mariusz</t>
  </si>
  <si>
    <t>Bochenek Mateusz</t>
  </si>
  <si>
    <t>Bochenek Rafał</t>
  </si>
  <si>
    <t>Borowczak Jerzy</t>
  </si>
  <si>
    <t>Borowiak Joanna</t>
  </si>
  <si>
    <t>Bortniczuk Kamil</t>
  </si>
  <si>
    <t>Borys Piotr</t>
  </si>
  <si>
    <t>Borys-Szopa Bożena</t>
  </si>
  <si>
    <t>Bosak Krzysztof</t>
  </si>
  <si>
    <t>Braun Grzegorz</t>
  </si>
  <si>
    <t>Buda Waldemar</t>
  </si>
  <si>
    <t>Budka Borys</t>
  </si>
  <si>
    <t>165;75</t>
  </si>
  <si>
    <t>408000;160000</t>
  </si>
  <si>
    <t>Bukowiec Stanisław</t>
  </si>
  <si>
    <t>Burzyńska Lidia</t>
  </si>
  <si>
    <t>Buż Wiesław</t>
  </si>
  <si>
    <t>Chmiel Małgorzata</t>
  </si>
  <si>
    <t>Chmielowiec Zbigniew</t>
  </si>
  <si>
    <t>Choma Kazimierz</t>
  </si>
  <si>
    <t>Chorosińska Dominika</t>
  </si>
  <si>
    <t>Chrzan Tadeusz</t>
  </si>
  <si>
    <t>Cicholska Anna Ewa</t>
  </si>
  <si>
    <t>Cichoń Janusz</t>
  </si>
  <si>
    <t>Cieślak Michał</t>
  </si>
  <si>
    <t>Cymański Tadeusz</t>
  </si>
  <si>
    <t>Cyrański Adam</t>
  </si>
  <si>
    <t>682.7;161</t>
  </si>
  <si>
    <t>1950000;50000</t>
  </si>
  <si>
    <t>61.26;103.9;103.4;93.59;113.3</t>
  </si>
  <si>
    <t>336930;852160;832000;760000;700000</t>
  </si>
  <si>
    <t>Czarnecki Krzysztof</t>
  </si>
  <si>
    <t>Czarnecki Przemysław</t>
  </si>
  <si>
    <t>100;70;35</t>
  </si>
  <si>
    <t>800000;600000;300000</t>
  </si>
  <si>
    <t>Czarnecki Witold</t>
  </si>
  <si>
    <t>67.7;26.92</t>
  </si>
  <si>
    <t>320000;110000</t>
  </si>
  <si>
    <t>Czarnek Przemysław</t>
  </si>
  <si>
    <t>Czartoryski Arkadiusz</t>
  </si>
  <si>
    <t>Czarzasty Włodzimierz</t>
  </si>
  <si>
    <t>Czerniak Jacek</t>
  </si>
  <si>
    <t>Czernow Zofia</t>
  </si>
  <si>
    <t>Czerwińska Anita</t>
  </si>
  <si>
    <t>Czochara Katarzyna</t>
  </si>
  <si>
    <t>Czykwin Eugeniusz</t>
  </si>
  <si>
    <t>Dajczak Władysław</t>
  </si>
  <si>
    <t>Dąbrowska-Banaszek Anna</t>
  </si>
  <si>
    <t>71.9;48.93</t>
  </si>
  <si>
    <t>200000;150000</t>
  </si>
  <si>
    <t>Dobrzyński Leszek</t>
  </si>
  <si>
    <t>Dolata Zbigniew</t>
  </si>
  <si>
    <t>Dolniak Barbara</t>
  </si>
  <si>
    <t>Dorywalski Bartłomiej</t>
  </si>
  <si>
    <t>Drabek Przemysław</t>
  </si>
  <si>
    <t>Duda Elżbieta</t>
  </si>
  <si>
    <t>Duda Jan</t>
  </si>
  <si>
    <t>Duszek Marcin</t>
  </si>
  <si>
    <t>Dworczyk Michał</t>
  </si>
  <si>
    <t>Dyduch Marek</t>
  </si>
  <si>
    <t>Dziambor Artur</t>
  </si>
  <si>
    <t>Dziedziczak Jan</t>
  </si>
  <si>
    <t>Dziemianowicz-Bąk Agnieszka</t>
  </si>
  <si>
    <t>Dzikowski Waldy</t>
  </si>
  <si>
    <t>Dziuk Barbara</t>
  </si>
  <si>
    <t>Emilewicz Jadwiga</t>
  </si>
  <si>
    <t>Fabisiak Joanna</t>
  </si>
  <si>
    <t>Falej Monika</t>
  </si>
  <si>
    <t>Fedak Jolanta</t>
  </si>
  <si>
    <t>Filiks Magdalena</t>
  </si>
  <si>
    <t>Filipiak Ewa</t>
  </si>
  <si>
    <t>150;83</t>
  </si>
  <si>
    <t>550000;160000</t>
  </si>
  <si>
    <t>Fogiel Radosław</t>
  </si>
  <si>
    <t>Frydrych Joanna</t>
  </si>
  <si>
    <t>Frysztak Konrad</t>
  </si>
  <si>
    <t>Gadowski Krzysztof</t>
  </si>
  <si>
    <t>Gajewska Aleksandra</t>
  </si>
  <si>
    <t>Gajewska Kinga</t>
  </si>
  <si>
    <t>Galemba Leszek</t>
  </si>
  <si>
    <t>Galla Ryszard</t>
  </si>
  <si>
    <t>Gapińska Elżbieta</t>
  </si>
  <si>
    <t>Gasiuk-Pihowicz Kamila</t>
  </si>
  <si>
    <t>Gawęda Adam</t>
  </si>
  <si>
    <t>Gawkowski Krzysztof</t>
  </si>
  <si>
    <t>Gawron Andrzej</t>
  </si>
  <si>
    <t>105;100</t>
  </si>
  <si>
    <t>250000;290000</t>
  </si>
  <si>
    <t>Gaża Grzegorz</t>
  </si>
  <si>
    <t>Gdula Maciej</t>
  </si>
  <si>
    <t>Gelert Elżbieta</t>
  </si>
  <si>
    <t>Gembicka Anna</t>
  </si>
  <si>
    <t>Gill-Piątek Hanna</t>
  </si>
  <si>
    <t>Girzyński Zbigniew</t>
  </si>
  <si>
    <t>Giżyński Szymon</t>
  </si>
  <si>
    <t>Glenc Teresa</t>
  </si>
  <si>
    <t>Gliński Piotr</t>
  </si>
  <si>
    <t>Głogowski Tomasz</t>
  </si>
  <si>
    <t>199;110</t>
  </si>
  <si>
    <t>350000;300000</t>
  </si>
  <si>
    <t>Golbik Marta</t>
  </si>
  <si>
    <t>Golińska Małgorzata</t>
  </si>
  <si>
    <t>59.57;27.51</t>
  </si>
  <si>
    <t>200000;100000</t>
  </si>
  <si>
    <t>Gołojuch Kazimierz</t>
  </si>
  <si>
    <t>Gonciarz Jarosław</t>
  </si>
  <si>
    <t>Gontarz Robert</t>
  </si>
  <si>
    <t>Gosek Mariusz</t>
  </si>
  <si>
    <t>Gosek-Popiołek Daria</t>
  </si>
  <si>
    <t>Gosiewska Małgorzata</t>
  </si>
  <si>
    <t>Gowin Jarosław</t>
  </si>
  <si>
    <t>98;40</t>
  </si>
  <si>
    <t>500000;200000</t>
  </si>
  <si>
    <t>Górska Agnieszka</t>
  </si>
  <si>
    <t>100;128</t>
  </si>
  <si>
    <t>100000;100000</t>
  </si>
  <si>
    <t>Górski Maciej</t>
  </si>
  <si>
    <t>Grabarczyk Cezary</t>
  </si>
  <si>
    <t>Grabczuk Krzysztof</t>
  </si>
  <si>
    <t>Grabiec Jan</t>
  </si>
  <si>
    <t>Gramatyka Michał</t>
  </si>
  <si>
    <t>Gróbarczyk Marek</t>
  </si>
  <si>
    <t>72;37;45;49</t>
  </si>
  <si>
    <t>550000;220000;236538;257562</t>
  </si>
  <si>
    <t>Grupiński Rafał</t>
  </si>
  <si>
    <t>Grzyb Andrzej</t>
  </si>
  <si>
    <t>Gut-Mostowy Andrzej</t>
  </si>
  <si>
    <t>Gwiazdowski Kazimierz</t>
  </si>
  <si>
    <t>Gwóźdź Marcin</t>
  </si>
  <si>
    <t>Haidar Riad</t>
  </si>
  <si>
    <t>Hałas Teresa</t>
  </si>
  <si>
    <t>Hanajczyk Agnieszka</t>
  </si>
  <si>
    <t>Hardie-Douglas Jerzy</t>
  </si>
  <si>
    <t>300;160</t>
  </si>
  <si>
    <t>1000000;200000</t>
  </si>
  <si>
    <t>Hartwich Iwona</t>
  </si>
  <si>
    <t>Hennig-Kloska Paulina</t>
  </si>
  <si>
    <t>Hoc Czesław</t>
  </si>
  <si>
    <t>85;62.34</t>
  </si>
  <si>
    <t>345000;360000</t>
  </si>
  <si>
    <t>Hoffmann Zbigniew Grzegorz</t>
  </si>
  <si>
    <t>Hok Marek</t>
  </si>
  <si>
    <t>Horała Marcin</t>
  </si>
  <si>
    <t>Hreniak Paweł</t>
  </si>
  <si>
    <t>Iwaniak Arkadiusz</t>
  </si>
  <si>
    <t>Jach Michał</t>
  </si>
  <si>
    <t>Jachira Klaudia</t>
  </si>
  <si>
    <t>34.5;56.24</t>
  </si>
  <si>
    <t>240000;381000</t>
  </si>
  <si>
    <t>Janczyk Wiesław</t>
  </si>
  <si>
    <t>Janowska Małgorzata</t>
  </si>
  <si>
    <t>180;100</t>
  </si>
  <si>
    <t>500000;400000</t>
  </si>
  <si>
    <t>Janyska Maria Małgorzata</t>
  </si>
  <si>
    <t>Jaros Michał</t>
  </si>
  <si>
    <t>Jaśkowiak Joanna</t>
  </si>
  <si>
    <t>169.67;224.06</t>
  </si>
  <si>
    <t>1250000;650000</t>
  </si>
  <si>
    <t>Joński Dariusz</t>
  </si>
  <si>
    <t>Kaczmarczyk Norbert</t>
  </si>
  <si>
    <t>Kaczyński Filip</t>
  </si>
  <si>
    <t>Kaczyński Jarosław</t>
  </si>
  <si>
    <t>Kaleta Piotr</t>
  </si>
  <si>
    <t>Kaleta Sebastian</t>
  </si>
  <si>
    <t>Kałużny Mariusz</t>
  </si>
  <si>
    <t>Kamiński Krystian</t>
  </si>
  <si>
    <t>Kamiński Mariusz</t>
  </si>
  <si>
    <t>Kanthak Jan</t>
  </si>
  <si>
    <t>Kapinos Fryderyk</t>
  </si>
  <si>
    <t>Kasprzak Mieczysław</t>
  </si>
  <si>
    <t>Kidawa-Błońska Małgorzata</t>
  </si>
  <si>
    <t>Kierwiński Marcin</t>
  </si>
  <si>
    <t>35;53;89</t>
  </si>
  <si>
    <t>350000;90000;750000</t>
  </si>
  <si>
    <t>Klimczak Dariusz</t>
  </si>
  <si>
    <t>65.45;36.94</t>
  </si>
  <si>
    <t>350000;270000</t>
  </si>
  <si>
    <t>Kluzik-Rostkowska Joanna</t>
  </si>
  <si>
    <t>110;160</t>
  </si>
  <si>
    <t>700000;380000</t>
  </si>
  <si>
    <t>Kołakowski Lech</t>
  </si>
  <si>
    <t>Kołodziej Ewa</t>
  </si>
  <si>
    <t>Konieczny Maciej</t>
  </si>
  <si>
    <t>Konwiński Zbigniew</t>
  </si>
  <si>
    <t>Koperski Przemysław</t>
  </si>
  <si>
    <t>164;110</t>
  </si>
  <si>
    <t>550000;525000</t>
  </si>
  <si>
    <t>Kopiec Maciej</t>
  </si>
  <si>
    <t>Korwin-Mikke Janusz</t>
  </si>
  <si>
    <t>Kosiniak-Kamysz Władysław</t>
  </si>
  <si>
    <t>Kossakowski Wojciech</t>
  </si>
  <si>
    <t>Kostuś Tomasz</t>
  </si>
  <si>
    <t>Kosztowniak Andrzej</t>
  </si>
  <si>
    <t>Kotula Katarzyna</t>
  </si>
  <si>
    <t>Kowal Paweł</t>
  </si>
  <si>
    <t>Kowalczyk Henryk</t>
  </si>
  <si>
    <t>Kowalski Janusz</t>
  </si>
  <si>
    <t>Kownacki Bartosz</t>
  </si>
  <si>
    <t>Kozanecka Ewa</t>
  </si>
  <si>
    <t>Kozik Krzysztof Janusz</t>
  </si>
  <si>
    <t>Kozłowska Iwona Maria</t>
  </si>
  <si>
    <t>Krajewski Jarosław</t>
  </si>
  <si>
    <t>Krajewski Stefan</t>
  </si>
  <si>
    <t>Krajewski Wiesław</t>
  </si>
  <si>
    <t>217;95</t>
  </si>
  <si>
    <t>350000;210000</t>
  </si>
  <si>
    <t>Krasulski Leonard</t>
  </si>
  <si>
    <t>Krawczyk Michał</t>
  </si>
  <si>
    <t>Kretkowska Katarzyna</t>
  </si>
  <si>
    <t>Kropiwnicki Robert</t>
  </si>
  <si>
    <t>100;42;41;37;46;44;46;34;59</t>
  </si>
  <si>
    <t>450000;210000;205000;185000;230000;220000;230000;136000;295000</t>
  </si>
  <si>
    <t>Król Piotr</t>
  </si>
  <si>
    <t>Król Wojciech</t>
  </si>
  <si>
    <t>Krupka Anna</t>
  </si>
  <si>
    <t>Krutul Paweł</t>
  </si>
  <si>
    <t>49.2;49.34</t>
  </si>
  <si>
    <t>250000;250000</t>
  </si>
  <si>
    <t>Kryj Andrzej</t>
  </si>
  <si>
    <t>130.74;90;119.64</t>
  </si>
  <si>
    <t>380000;15000;170000</t>
  </si>
  <si>
    <t>Krząkała Marek</t>
  </si>
  <si>
    <t>Krzywonos-Strycharska Henryka</t>
  </si>
  <si>
    <t>67;32.81</t>
  </si>
  <si>
    <t>480000;226272</t>
  </si>
  <si>
    <t>Kubiak Marta</t>
  </si>
  <si>
    <t>Kubów Krzysztof</t>
  </si>
  <si>
    <t>62.2;51.8</t>
  </si>
  <si>
    <t>205000;190000</t>
  </si>
  <si>
    <t>Kucharska-Dziedzic Anita</t>
  </si>
  <si>
    <t>Kuchciński Marek</t>
  </si>
  <si>
    <t>Kukiz Paweł</t>
  </si>
  <si>
    <t>Kulasek Marcin</t>
  </si>
  <si>
    <t>Kulesza Jakub</t>
  </si>
  <si>
    <t>Kurowska Maria</t>
  </si>
  <si>
    <t>Kurowski Władysław</t>
  </si>
  <si>
    <t>Kurzawa Dariusz</t>
  </si>
  <si>
    <t>Kurzępa Jacek</t>
  </si>
  <si>
    <t>Kwiatkowski Robert</t>
  </si>
  <si>
    <t>Kwiecień Anna</t>
  </si>
  <si>
    <t>Kwitek Marek</t>
  </si>
  <si>
    <t>Lasek Maciej</t>
  </si>
  <si>
    <t>Latos Tomasz</t>
  </si>
  <si>
    <t>148;75;49</t>
  </si>
  <si>
    <t>344491;250000;250000</t>
  </si>
  <si>
    <t>Lenartowicz Gabriela</t>
  </si>
  <si>
    <t>Leniart Ewa</t>
  </si>
  <si>
    <t>Lenz Tomasz</t>
  </si>
  <si>
    <t>Leszczyna Izabela</t>
  </si>
  <si>
    <t>Lichocka Joanna</t>
  </si>
  <si>
    <t>Lipiec Krzysztof</t>
  </si>
  <si>
    <t>Lipiński Adam</t>
  </si>
  <si>
    <t>Lisiecki Paweł</t>
  </si>
  <si>
    <t>35.88;65.24</t>
  </si>
  <si>
    <t>314000;587000</t>
  </si>
  <si>
    <t>Lorek Grzegorz</t>
  </si>
  <si>
    <t>Lubczyk Radosław</t>
  </si>
  <si>
    <t>Lubnauer Katarzyna</t>
  </si>
  <si>
    <t>Ławniczak Tomasz</t>
  </si>
  <si>
    <t>Łącki Artur</t>
  </si>
  <si>
    <t>Łopata Jan</t>
  </si>
  <si>
    <t>Łośko Magdalena</t>
  </si>
  <si>
    <t>Machałek Marzena</t>
  </si>
  <si>
    <t>Maciejewska Beata</t>
  </si>
  <si>
    <t>37.6;32.88</t>
  </si>
  <si>
    <t>300000;165000</t>
  </si>
  <si>
    <t>Macierewicz Antoni</t>
  </si>
  <si>
    <t>Maksymowicz Wojciech</t>
  </si>
  <si>
    <t>76;34</t>
  </si>
  <si>
    <t>700000;220000</t>
  </si>
  <si>
    <t>Maląg Marlena Magdalena</t>
  </si>
  <si>
    <t>Malik Ewa</t>
  </si>
  <si>
    <t>Maliszewski Mirosław</t>
  </si>
  <si>
    <t>Małecki Jerzy</t>
  </si>
  <si>
    <t>Małecki Maciej</t>
  </si>
  <si>
    <t>63;25;25;48</t>
  </si>
  <si>
    <t>280000;150000;150000;240000</t>
  </si>
  <si>
    <t>Marchewka Arkadiusz</t>
  </si>
  <si>
    <t>Marczułajtis-Walczak Jagna</t>
  </si>
  <si>
    <t>168;71.23;71;23</t>
  </si>
  <si>
    <t>Masłowska Gabriela</t>
  </si>
  <si>
    <t>Materna Jerzy</t>
  </si>
  <si>
    <t>40.6;103.8</t>
  </si>
  <si>
    <t>160000;328000</t>
  </si>
  <si>
    <t>Mateusiak-Pielucha Beata</t>
  </si>
  <si>
    <t>Matusiak Grzegorz</t>
  </si>
  <si>
    <t>55;55.7</t>
  </si>
  <si>
    <t>130000;180000</t>
  </si>
  <si>
    <t>Matuszewski Marek</t>
  </si>
  <si>
    <t>194.35;304</t>
  </si>
  <si>
    <t>496000;1100000</t>
  </si>
  <si>
    <t>Matuszny Kazimierz</t>
  </si>
  <si>
    <t>Matysiak Paulina</t>
  </si>
  <si>
    <t>Mejza Łukasz</t>
  </si>
  <si>
    <t>Michałek Iwona</t>
  </si>
  <si>
    <t>Mieszkowski Krzysztof</t>
  </si>
  <si>
    <t>Milczanowska Anna</t>
  </si>
  <si>
    <t>Milewski Daniel</t>
  </si>
  <si>
    <t>Miller Rajmund</t>
  </si>
  <si>
    <t>Miszalski Aleksander</t>
  </si>
  <si>
    <t>Morawiecki Mateusz</t>
  </si>
  <si>
    <t>150;100</t>
  </si>
  <si>
    <t>1900000;3250000</t>
  </si>
  <si>
    <t>Mosiński Jan</t>
  </si>
  <si>
    <t>Moskal Kazimierz</t>
  </si>
  <si>
    <t>Mroczek Czesław</t>
  </si>
  <si>
    <t>Mrówczyński Aleksander</t>
  </si>
  <si>
    <t>Mrzygłocka Izabela Katarzyna</t>
  </si>
  <si>
    <t>82.48;32.8</t>
  </si>
  <si>
    <t>342000;164000</t>
  </si>
  <si>
    <t>Mucha Joanna</t>
  </si>
  <si>
    <t>Mularczyk Arkadiusz</t>
  </si>
  <si>
    <t>Müller Piotr</t>
  </si>
  <si>
    <t>Munyama Killion</t>
  </si>
  <si>
    <t>Murdzek Wojciech</t>
  </si>
  <si>
    <t>212;139.4</t>
  </si>
  <si>
    <t>700000;350000</t>
  </si>
  <si>
    <t>Myrcha Arkadiusz</t>
  </si>
  <si>
    <t>Napieralski Grzegorz</t>
  </si>
  <si>
    <t>Neumann Sławomir</t>
  </si>
  <si>
    <t>Niedziela Dorota</t>
  </si>
  <si>
    <t>Niemczyk Małgorzata</t>
  </si>
  <si>
    <t>49.75;143.6;81.2;31.6;31.2;31.7;32;32;32;32</t>
  </si>
  <si>
    <t>250000;1350000;350000;260000;260000;260000;255000;255000;225000;225000</t>
  </si>
  <si>
    <t>Nitras Sławomir</t>
  </si>
  <si>
    <t>Nowacka Barbara</t>
  </si>
  <si>
    <t>Nowak Tomasz Piotr</t>
  </si>
  <si>
    <t>Nowicka Danuta</t>
  </si>
  <si>
    <t>Nowicka Wanda</t>
  </si>
  <si>
    <t>Nowogórska Urszula</t>
  </si>
  <si>
    <t>Nykiel Mirosława</t>
  </si>
  <si>
    <t>Obaz Robert</t>
  </si>
  <si>
    <t>Ociepa Marcin</t>
  </si>
  <si>
    <t>Okła-Drewnowicz Marzena</t>
  </si>
  <si>
    <t>62;34.21</t>
  </si>
  <si>
    <t>200000;120000</t>
  </si>
  <si>
    <t>Olejniczak Waldemar</t>
  </si>
  <si>
    <t>Olichwer Tomasz</t>
  </si>
  <si>
    <t>Olszewski Dariusz</t>
  </si>
  <si>
    <t>Olszewski Paweł</t>
  </si>
  <si>
    <t>94;12</t>
  </si>
  <si>
    <t>500000;40000</t>
  </si>
  <si>
    <t>Ołdakowski Adam</t>
  </si>
  <si>
    <t>Opioła Marek</t>
  </si>
  <si>
    <t>Osos Katarzyna</t>
  </si>
  <si>
    <t>52.5;52.5;52.5</t>
  </si>
  <si>
    <t>270000;270000;270000</t>
  </si>
  <si>
    <t>Osuch Jacek</t>
  </si>
  <si>
    <t>Ozdoba Jacek</t>
  </si>
  <si>
    <t>Paluch Anna</t>
  </si>
  <si>
    <t>Pamuła Teresa</t>
  </si>
  <si>
    <t>Papke Paweł</t>
  </si>
  <si>
    <t>130.64;29.5</t>
  </si>
  <si>
    <t>750000;350000</t>
  </si>
  <si>
    <t>Pasławska Urszula</t>
  </si>
  <si>
    <t>Paszyk Krzysztof</t>
  </si>
  <si>
    <t>Paul Jerzy</t>
  </si>
  <si>
    <t>Pawliczak Karolina</t>
  </si>
  <si>
    <t>Pawłowska Monika</t>
  </si>
  <si>
    <t>Pępek Małgorzata</t>
  </si>
  <si>
    <t>Piątkowski Krzysztof</t>
  </si>
  <si>
    <t>47;52</t>
  </si>
  <si>
    <t>360000;400000</t>
  </si>
  <si>
    <t>Piecha Bolesław</t>
  </si>
  <si>
    <t>Piechota Sławomir Jan</t>
  </si>
  <si>
    <t>108;67.11</t>
  </si>
  <si>
    <t>600000;465000</t>
  </si>
  <si>
    <t>Piechowiak Grzegorz</t>
  </si>
  <si>
    <t>Pieczarka Anna</t>
  </si>
  <si>
    <t>56;60.7</t>
  </si>
  <si>
    <t>115000;237000</t>
  </si>
  <si>
    <t>Piekarska Katarzyna Maria</t>
  </si>
  <si>
    <t>98;45;49</t>
  </si>
  <si>
    <t>700000;400000;390000</t>
  </si>
  <si>
    <t>Piontkowski Dariusz</t>
  </si>
  <si>
    <t>48;45.86;48.8</t>
  </si>
  <si>
    <t>200000;20000;30000</t>
  </si>
  <si>
    <t>Plocke Kazimierz</t>
  </si>
  <si>
    <t>290;140</t>
  </si>
  <si>
    <t>750000;550000</t>
  </si>
  <si>
    <t>Płażyński Kacper</t>
  </si>
  <si>
    <t>39;54;95</t>
  </si>
  <si>
    <t>90000;600000;800000</t>
  </si>
  <si>
    <t>Płonka Elżbieta</t>
  </si>
  <si>
    <t>Pogoda Szymon</t>
  </si>
  <si>
    <t>Polaczek Jerzy</t>
  </si>
  <si>
    <t>Polak Marek</t>
  </si>
  <si>
    <t>Polak Piotr</t>
  </si>
  <si>
    <t>Pomaska Agnieszka</t>
  </si>
  <si>
    <t>69.5;43.13</t>
  </si>
  <si>
    <t>350000;400000</t>
  </si>
  <si>
    <t>Poncyljusz Paweł</t>
  </si>
  <si>
    <t>Porowska Violetta</t>
  </si>
  <si>
    <t>Porzucek Marcin</t>
  </si>
  <si>
    <t>61.6;33.35</t>
  </si>
  <si>
    <t>450000;150000</t>
  </si>
  <si>
    <t>Prokop-Paczkowska Małgorzata</t>
  </si>
  <si>
    <t>Protas Jacek</t>
  </si>
  <si>
    <t>104;63;57</t>
  </si>
  <si>
    <t>400000;250000;100000</t>
  </si>
  <si>
    <t>Protasiewicz Jacek</t>
  </si>
  <si>
    <t>Puda Grzegorz</t>
  </si>
  <si>
    <t>Raś Ireneusz</t>
  </si>
  <si>
    <t>Rau Zbigniew</t>
  </si>
  <si>
    <t>160;330</t>
  </si>
  <si>
    <t>400000;800000</t>
  </si>
  <si>
    <t>Romanowski Rafał</t>
  </si>
  <si>
    <t>Rosa Monika</t>
  </si>
  <si>
    <t>47.88;64</t>
  </si>
  <si>
    <t>311000;300000</t>
  </si>
  <si>
    <t>Rosati Dariusz</t>
  </si>
  <si>
    <t>Rozenek Andrzej</t>
  </si>
  <si>
    <t>130;80</t>
  </si>
  <si>
    <t>700000;300000</t>
  </si>
  <si>
    <t>61;50</t>
  </si>
  <si>
    <t>Rusecka Urszula</t>
  </si>
  <si>
    <t>Rusiecki Grzegorz</t>
  </si>
  <si>
    <t>53.1;48.5</t>
  </si>
  <si>
    <t>190000;150000</t>
  </si>
  <si>
    <t>Rutka Marek</t>
  </si>
  <si>
    <t>28.7;76.6;29.02</t>
  </si>
  <si>
    <t>240000;650000;285000</t>
  </si>
  <si>
    <t>Rutnicki Jakub</t>
  </si>
  <si>
    <t>Rychlik Paweł</t>
  </si>
  <si>
    <t>Rząsa Marek</t>
  </si>
  <si>
    <t>Rzepa Jarosław</t>
  </si>
  <si>
    <t>Rzymkowski Tomasz</t>
  </si>
  <si>
    <t>Sachajko Jarosław</t>
  </si>
  <si>
    <t>250;169.5</t>
  </si>
  <si>
    <t>900000;650000</t>
  </si>
  <si>
    <t>Sak Piotr</t>
  </si>
  <si>
    <t>Saługa Wojciech</t>
  </si>
  <si>
    <t>152;179</t>
  </si>
  <si>
    <t>600000;450000</t>
  </si>
  <si>
    <t>36;34.4</t>
  </si>
  <si>
    <t>150000;250000</t>
  </si>
  <si>
    <t>Sasin Jacek</t>
  </si>
  <si>
    <t>Sawicki Marek</t>
  </si>
  <si>
    <t>Schetyna Grzegorz</t>
  </si>
  <si>
    <t>54.7;33.6;32.8;36.25</t>
  </si>
  <si>
    <t>350000;239000;239000;275450</t>
  </si>
  <si>
    <t>Scheuring-Wielgus Joanna</t>
  </si>
  <si>
    <t>Schmidt Anna</t>
  </si>
  <si>
    <t>Schreiber Łukasz</t>
  </si>
  <si>
    <t>Sekuła-Szmajdzińska Małgorzata</t>
  </si>
  <si>
    <t>Sellin Jarosław</t>
  </si>
  <si>
    <t>Senyszyn Joanna</t>
  </si>
  <si>
    <t>56;80;52</t>
  </si>
  <si>
    <t>281958;150000;180000</t>
  </si>
  <si>
    <t>Siarka Edward</t>
  </si>
  <si>
    <t>Siarkowska Anna Maria</t>
  </si>
  <si>
    <t>Sibińska Krystyna</t>
  </si>
  <si>
    <t>Siekierski Czesław</t>
  </si>
  <si>
    <t>Siemoniak Tomasz</t>
  </si>
  <si>
    <t>46.4;49.8;111</t>
  </si>
  <si>
    <t>255000;400000;1100000</t>
  </si>
  <si>
    <t>Sienkiewicz Bartłomiej</t>
  </si>
  <si>
    <t>80;56</t>
  </si>
  <si>
    <t>800000;560000</t>
  </si>
  <si>
    <t>Sipiera Zdzisław</t>
  </si>
  <si>
    <t>Skowrońska Krystyna</t>
  </si>
  <si>
    <t>Skwarek Sławomir</t>
  </si>
  <si>
    <t>Sługocki Waldemar</t>
  </si>
  <si>
    <t>Smoliński Kazimierz</t>
  </si>
  <si>
    <t>260;82</t>
  </si>
  <si>
    <t>600000;130000</t>
  </si>
  <si>
    <t>Sobolewski Krzysztof</t>
  </si>
  <si>
    <t>Soboń Artur</t>
  </si>
  <si>
    <t>Soin Agnieszka</t>
  </si>
  <si>
    <t>170;300</t>
  </si>
  <si>
    <t>400000;1400000</t>
  </si>
  <si>
    <t>19;20.5;30.5;30.5</t>
  </si>
  <si>
    <t>200000;239000;286136;360000</t>
  </si>
  <si>
    <t>Sonik Bogusław</t>
  </si>
  <si>
    <t>Sośnierz Andrzej</t>
  </si>
  <si>
    <t>Sośnierz Dobromir</t>
  </si>
  <si>
    <t>Sowa Marek</t>
  </si>
  <si>
    <t>192;276</t>
  </si>
  <si>
    <t>810000;300000</t>
  </si>
  <si>
    <t>Sowińska Anita</t>
  </si>
  <si>
    <t>Sójka Katarzyna</t>
  </si>
  <si>
    <t>Sroka Magdalena</t>
  </si>
  <si>
    <t>56.52;108.2</t>
  </si>
  <si>
    <t>400000;400000</t>
  </si>
  <si>
    <t>Stachowiak-Różecka Mirosława</t>
  </si>
  <si>
    <t>Stefaniuk Dariusz</t>
  </si>
  <si>
    <t>Sterczewski Franciszek</t>
  </si>
  <si>
    <t>Strzałka Beata</t>
  </si>
  <si>
    <t>Suchoń Mirosław</t>
  </si>
  <si>
    <t>Suski Marek</t>
  </si>
  <si>
    <t>Szałabawka Artur</t>
  </si>
  <si>
    <t>Szarama Wojciech</t>
  </si>
  <si>
    <t>Szczepański Wiesław</t>
  </si>
  <si>
    <t>Szczerba Michał</t>
  </si>
  <si>
    <t>Szczudło Aleksandra</t>
  </si>
  <si>
    <t>Szczurek-Żelazko Józefa</t>
  </si>
  <si>
    <t>Szefernaker Paweł</t>
  </si>
  <si>
    <t>Szejna Andrzej</t>
  </si>
  <si>
    <t>Szewiński Andrzej</t>
  </si>
  <si>
    <t>248;140</t>
  </si>
  <si>
    <t>200000;36600</t>
  </si>
  <si>
    <t>Szlachta Andrzej</t>
  </si>
  <si>
    <t>Szłapka Adam</t>
  </si>
  <si>
    <t>54.6;52</t>
  </si>
  <si>
    <t>323000;25000</t>
  </si>
  <si>
    <t>Szopiński Jan</t>
  </si>
  <si>
    <t>64;49</t>
  </si>
  <si>
    <t>Szramka Paweł</t>
  </si>
  <si>
    <t>Szulowski Krzysztof</t>
  </si>
  <si>
    <t>Szumilas Krystyna</t>
  </si>
  <si>
    <t>Szumowski Łukasz</t>
  </si>
  <si>
    <t>Szwed Stanisław</t>
  </si>
  <si>
    <t>Szymańska Ewa</t>
  </si>
  <si>
    <t>Szymański Tomasz</t>
  </si>
  <si>
    <t>Szynkowski vel Sęk Szymon</t>
  </si>
  <si>
    <t>Ścigaj Agnieszka</t>
  </si>
  <si>
    <t>Śledzińska-Katarasińska Iwona</t>
  </si>
  <si>
    <t>42;64</t>
  </si>
  <si>
    <t>100000;425000</t>
  </si>
  <si>
    <t>Śmiszek Krzysztof</t>
  </si>
  <si>
    <t>55.59;40.82</t>
  </si>
  <si>
    <t>266000;210000</t>
  </si>
  <si>
    <t>Śniadek Janusz</t>
  </si>
  <si>
    <t>54.2;46.1</t>
  </si>
  <si>
    <t>405000;200000</t>
  </si>
  <si>
    <t>Śnieżek Adam</t>
  </si>
  <si>
    <t>Świat Jacek</t>
  </si>
  <si>
    <t>Tarczyński Dominik</t>
  </si>
  <si>
    <t>Tchórzewski Krzysztof</t>
  </si>
  <si>
    <t>Telus Robert</t>
  </si>
  <si>
    <t>Terlecki Ryszard</t>
  </si>
  <si>
    <t>Tomaszewski Tadeusz</t>
  </si>
  <si>
    <t>Tomaszewski Włodzimierz</t>
  </si>
  <si>
    <t>49;70</t>
  </si>
  <si>
    <t>170000;150000</t>
  </si>
  <si>
    <t>Tomczak Jacek</t>
  </si>
  <si>
    <t>Tomczyk Cezary</t>
  </si>
  <si>
    <t>Tracz Małgorzata</t>
  </si>
  <si>
    <t>Trela Tomasz</t>
  </si>
  <si>
    <t>Trepka Mariusz</t>
  </si>
  <si>
    <t>Truskolaski Krzysztof</t>
  </si>
  <si>
    <t>Tuduj Krzysztof</t>
  </si>
  <si>
    <t>Tułajew Sylwester</t>
  </si>
  <si>
    <t>Tyszka Stanisław</t>
  </si>
  <si>
    <t>Tyszkiewicz Robert</t>
  </si>
  <si>
    <t>Ueberhan Katarzyna</t>
  </si>
  <si>
    <t>Urbaniak Jarosław</t>
  </si>
  <si>
    <t>33.2;30.2;49</t>
  </si>
  <si>
    <t>140000;140000;257000</t>
  </si>
  <si>
    <t>Urbaniak Michał</t>
  </si>
  <si>
    <t>Uruski Piotr</t>
  </si>
  <si>
    <t>Uściński Piotr</t>
  </si>
  <si>
    <t>Wałęsa Jarosław</t>
  </si>
  <si>
    <t>Warchoł Marcin</t>
  </si>
  <si>
    <t>87;73.87</t>
  </si>
  <si>
    <t>800000;600000</t>
  </si>
  <si>
    <t>Wargocka Teresa</t>
  </si>
  <si>
    <t>Warwas Robert</t>
  </si>
  <si>
    <t>Warzecha Jan</t>
  </si>
  <si>
    <t>Wasilewska Anna</t>
  </si>
  <si>
    <t>Wassermann Małgorzata</t>
  </si>
  <si>
    <t>Wawrzyk Piotr</t>
  </si>
  <si>
    <t>Wąsik Maciej</t>
  </si>
  <si>
    <t>150;80</t>
  </si>
  <si>
    <t>1000000;150400</t>
  </si>
  <si>
    <t>Wcisło Marta</t>
  </si>
  <si>
    <t>Weber Rafał</t>
  </si>
  <si>
    <t>Wesoły Marek</t>
  </si>
  <si>
    <t>Wicher Patryk</t>
  </si>
  <si>
    <t>Wieczorek Dariusz</t>
  </si>
  <si>
    <t>Wielichowska Monika</t>
  </si>
  <si>
    <t>Wilczyński Ryszard</t>
  </si>
  <si>
    <t>Wilk Jerzy</t>
  </si>
  <si>
    <t>Winnicki Robert</t>
  </si>
  <si>
    <t>Witczak Mariusz</t>
  </si>
  <si>
    <t>Witek Elżbieta</t>
  </si>
  <si>
    <t>Wojciechowska Anna</t>
  </si>
  <si>
    <t>Wojciechowski Grzegorz</t>
  </si>
  <si>
    <t>Wojtyszek Agata Katarzyna</t>
  </si>
  <si>
    <t>Wolski Zdzisław</t>
  </si>
  <si>
    <t>73;57.28;52</t>
  </si>
  <si>
    <t>280000;210000;180000</t>
  </si>
  <si>
    <t>Wontor Bogusław</t>
  </si>
  <si>
    <t>Woś Michał</t>
  </si>
  <si>
    <t>Woźniak Grzegorz Adam</t>
  </si>
  <si>
    <t>Woźniak Tadeusz</t>
  </si>
  <si>
    <t>Wójcik Michał</t>
  </si>
  <si>
    <t>220;26</t>
  </si>
  <si>
    <t>330000;13400</t>
  </si>
  <si>
    <t>57.56;51.51</t>
  </si>
  <si>
    <t>20000;242688</t>
  </si>
  <si>
    <t>Wróblewski Bartłomiej</t>
  </si>
  <si>
    <t>Wypij Michał</t>
  </si>
  <si>
    <t>Zagórski Marek</t>
  </si>
  <si>
    <t>Zalewski Paweł</t>
  </si>
  <si>
    <t>Zandberg Adrian</t>
  </si>
  <si>
    <t>Zawisza Marcelina</t>
  </si>
  <si>
    <t>Zawiślak Sławomir</t>
  </si>
  <si>
    <t>Zembaczyński Witold</t>
  </si>
  <si>
    <t>Zgorzelski Piotr</t>
  </si>
  <si>
    <t>48.45;63.75;62.36</t>
  </si>
  <si>
    <t>280000;220000;293092</t>
  </si>
  <si>
    <t>Ziejewski Zbigniew</t>
  </si>
  <si>
    <t>Zielińska Elżbieta</t>
  </si>
  <si>
    <t>Zielińska Urszula</t>
  </si>
  <si>
    <t>Zieliński Jarosław</t>
  </si>
  <si>
    <t>Zieliński Tomasz</t>
  </si>
  <si>
    <t>Zientarski Piotr Benedykt</t>
  </si>
  <si>
    <t>Zimoch Tomasz</t>
  </si>
  <si>
    <t>Ziobro Zbigniew</t>
  </si>
  <si>
    <t>Zubowski Wojciech</t>
  </si>
  <si>
    <t>Zwiefka Tadeusz</t>
  </si>
  <si>
    <t>Zyska Ireneusz</t>
  </si>
  <si>
    <t>Żalek Jacek</t>
  </si>
  <si>
    <t>Żelazowska Bożena</t>
  </si>
  <si>
    <t>Żuk Stanisław</t>
  </si>
  <si>
    <t>Żukowska Anna Maria</t>
  </si>
  <si>
    <t>DATA</t>
  </si>
  <si>
    <t>UNIT</t>
  </si>
  <si>
    <t>SOURCE</t>
  </si>
  <si>
    <t>Authored by: Bartosz Stachowiak, Andrzej Kajdasz 24.05.2022</t>
  </si>
  <si>
    <t>PLN</t>
  </si>
  <si>
    <t>Everything given in I. under the first dash "środki pieniężne zgromadzone w walucie polskiej" summed to a single value</t>
  </si>
  <si>
    <t>Everything given in I. under the second dash "środki pieniężne zgromadzone w walucie obcej" converted by current(24.05.2022) Google exchange rates summed to a single value</t>
  </si>
  <si>
    <t>Additional note: the data were gathered regardless of the title to and share of the property (e.g. items marked as "własność" and "własność współmałżeńska" have been treated in the same manner).  For areas we used the ones excluding any additional property (such as land on which the house stands), similarily for value, we treated house and the lot it sits on as separate properties (if there was a possibility to differentiate between them).</t>
  </si>
  <si>
    <t>PLN values given in I. under the third dash "papiery wartościowe" summed to a single value</t>
  </si>
  <si>
    <t>M2</t>
  </si>
  <si>
    <t>Area of every house given in II. 1. or 4., separated by semicolons</t>
  </si>
  <si>
    <t>Value of every house given in II. 1. or 4., separated by semicolons</t>
  </si>
  <si>
    <t>Area of every flat given in II. 2. or 4., separated by semicolons</t>
  </si>
  <si>
    <t>Value of every flat given in II. 2. or 4., separated by semicolons</t>
  </si>
  <si>
    <t>HA</t>
  </si>
  <si>
    <t>Area of every farm estate given in II. 3. summed to a single value</t>
  </si>
  <si>
    <t>Value of every farm estate given in II. 3. summed to a single value</t>
  </si>
  <si>
    <t>Summed value of every estate given in II. 4. that is not a house nor a flat</t>
  </si>
  <si>
    <t>Summed value of all shares given in IV. and V. if values in PLN were given and if these shares were not aleardy provided in I. under the third dash "papiery wartościowe"</t>
  </si>
  <si>
    <t>-</t>
  </si>
  <si>
    <t>Count of all non-farm land vehicles owner or partially owned by the representative, listed in X.</t>
  </si>
  <si>
    <t xml:space="preserve">Summed (and converted by current(24.05.2022) Google exchange rates if necessary) all financial commitments listed in XI.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</si>
</sst>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6">
    <xf numFmtId="0" fontId="0" fillId="0" borderId="0" xfId="0"/>
    <xf numFmtId="0" fontId="0" fillId="0" borderId="0" xfId="0" quotePrefix="1"/>
    <xf numFmtId="0" fontId="0" fillId="2" borderId="0" xfId="0" applyFill="1"/>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0" borderId="4" xfId="0" applyBorder="1" applyAlignment="1">
      <alignment wrapText="1"/>
    </xf>
    <xf numFmtId="0" fontId="0" fillId="0" borderId="5" xfId="0" applyBorder="1"/>
    <xf numFmtId="0" fontId="0" fillId="0" borderId="6" xfId="0" applyBorder="1"/>
    <xf numFmtId="0" fontId="0" fillId="0" borderId="7" xfId="0" applyBorder="1" applyAlignment="1">
      <alignment wrapText="1"/>
    </xf>
    <xf numFmtId="0" fontId="0" fillId="0" borderId="8" xfId="0" applyBorder="1"/>
    <xf numFmtId="0" fontId="0" fillId="0" borderId="9" xfId="0" applyBorder="1" applyAlignment="1">
      <alignment wrapText="1"/>
    </xf>
    <xf numFmtId="0" fontId="0" fillId="0" borderId="10" xfId="0" applyBorder="1"/>
    <xf numFmtId="0" fontId="0" fillId="0" borderId="11" xfId="0" applyBorder="1"/>
    <xf numFmtId="0" fontId="0" fillId="0" borderId="12" xfId="0" applyBorder="1" applyAlignment="1">
      <alignment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E3E02-4DDD-4FBD-9289-F51E5ECD4E8A}" name="Tabela1" displayName="Tabela1" ref="A1:N472" totalsRowShown="0">
  <autoFilter ref="A1:N472" xr:uid="{992E3E02-4DDD-4FBD-9289-F51E5ECD4E8A}">
    <filterColumn colId="12">
      <filters blank="1"/>
    </filterColumn>
  </autoFilter>
  <tableColumns count="14">
    <tableColumn id="1" xr3:uid="{21069FDC-B047-4E5D-9DF8-679F6F18DE6C}" name="name"/>
    <tableColumn id="2" xr3:uid="{24B0BB06-DF02-46BE-BEED-9F0DBB6B8974}" name="cash_polish_currency"/>
    <tableColumn id="3" xr3:uid="{85C76E64-4298-4BAE-9EEF-4670FAA680AB}" name="cash_foreign_currency"/>
    <tableColumn id="4" xr3:uid="{3D2CB2E1-A72F-443F-92CB-0DB4EBFD4981}" name="securites_value"/>
    <tableColumn id="5" xr3:uid="{062D3F7D-A29B-4883-B0F3-2D07CE7DCAE1}" name="house_size"/>
    <tableColumn id="6" xr3:uid="{FFE3A91D-5134-4BC8-810E-993A5B97FFC9}" name="house_value"/>
    <tableColumn id="7" xr3:uid="{449781FB-8550-4F04-8C02-4A677725F88B}" name="flat_size"/>
    <tableColumn id="8" xr3:uid="{D421E852-53A3-4C3B-B638-39ACD5AA3A4E}" name="flat_value"/>
    <tableColumn id="9" xr3:uid="{460E213B-08F7-4FA8-A817-9D2A134606E1}" name="farm_estate_size"/>
    <tableColumn id="10" xr3:uid="{7ACA2573-2C4E-4626-820E-49170318C28F}" name="farm_estate_value"/>
    <tableColumn id="11" xr3:uid="{1B340A9D-B2E0-45B7-8428-8D73369244A3}" name="other_estates_value"/>
    <tableColumn id="12" xr3:uid="{4F86A6F9-C3A6-413E-A2AF-F26F99F5E2CF}" name="other_shares_value"/>
    <tableColumn id="13" xr3:uid="{B0E5F902-BAC4-409D-B8C8-2A257F057971}" name="vehicles_count"/>
    <tableColumn id="14" xr3:uid="{6B7AF001-2710-4D6C-B803-F5824E34EBD1}" name="loans_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2"/>
  <sheetViews>
    <sheetView tabSelected="1" zoomScale="85" zoomScaleNormal="85" workbookViewId="0">
      <pane ySplit="1" topLeftCell="A2" activePane="bottomLeft" state="frozen"/>
      <selection pane="bottomLeft" activeCell="C263" sqref="C263"/>
    </sheetView>
  </sheetViews>
  <sheetFormatPr defaultRowHeight="14.5" x14ac:dyDescent="0.35"/>
  <cols>
    <col min="1" max="1" width="28" bestFit="1" customWidth="1"/>
    <col min="2" max="2" width="21.08984375" customWidth="1"/>
    <col min="3" max="3" width="22" customWidth="1"/>
    <col min="4" max="4" width="19.81640625" bestFit="1" customWidth="1"/>
    <col min="5" max="5" width="16.54296875" bestFit="1" customWidth="1"/>
    <col min="6" max="6" width="22.26953125" bestFit="1" customWidth="1"/>
    <col min="7" max="7" width="26.1796875" bestFit="1" customWidth="1"/>
    <col min="8" max="8" width="64.26953125" bestFit="1" customWidth="1"/>
    <col min="9" max="9" width="17.54296875" customWidth="1"/>
    <col min="10" max="10" width="18.81640625" customWidth="1"/>
    <col min="11" max="11" width="20.453125" customWidth="1"/>
    <col min="12" max="12" width="19.6328125" customWidth="1"/>
    <col min="13" max="13" width="15.6328125" customWidth="1"/>
    <col min="14" max="14" width="12.906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hidden="1" x14ac:dyDescent="0.35">
      <c r="A2" t="s">
        <v>14</v>
      </c>
      <c r="B2">
        <v>210000</v>
      </c>
      <c r="C2">
        <f>6384.7 + 669.82</f>
        <v>7054.5199999999995</v>
      </c>
      <c r="E2">
        <v>187.1</v>
      </c>
      <c r="F2">
        <v>450000</v>
      </c>
      <c r="G2">
        <v>37</v>
      </c>
      <c r="H2">
        <v>145000</v>
      </c>
      <c r="K2">
        <v>181680</v>
      </c>
      <c r="L2">
        <v>17100</v>
      </c>
      <c r="M2">
        <v>2</v>
      </c>
    </row>
    <row r="3" spans="1:14" hidden="1" x14ac:dyDescent="0.35">
      <c r="A3" t="s">
        <v>15</v>
      </c>
      <c r="B3">
        <v>38515.93</v>
      </c>
      <c r="D3">
        <v>16437.72</v>
      </c>
      <c r="K3">
        <v>20000</v>
      </c>
      <c r="M3">
        <v>4</v>
      </c>
      <c r="N3">
        <v>119495.3</v>
      </c>
    </row>
    <row r="4" spans="1:14" hidden="1" x14ac:dyDescent="0.35">
      <c r="A4" t="s">
        <v>16</v>
      </c>
      <c r="B4">
        <v>55000</v>
      </c>
      <c r="C4">
        <v>28365.81</v>
      </c>
      <c r="D4">
        <f>15600+554200</f>
        <v>569800</v>
      </c>
      <c r="E4" t="s">
        <v>17</v>
      </c>
      <c r="F4" t="s">
        <v>18</v>
      </c>
      <c r="M4">
        <v>0</v>
      </c>
    </row>
    <row r="5" spans="1:14" hidden="1" x14ac:dyDescent="0.35">
      <c r="A5" t="s">
        <v>19</v>
      </c>
      <c r="B5">
        <v>513524.52</v>
      </c>
      <c r="C5">
        <v>28077.07</v>
      </c>
      <c r="E5">
        <v>120</v>
      </c>
      <c r="F5">
        <v>600000</v>
      </c>
      <c r="K5">
        <v>2683298</v>
      </c>
      <c r="M5">
        <v>0</v>
      </c>
    </row>
    <row r="6" spans="1:14" hidden="1" x14ac:dyDescent="0.35">
      <c r="A6" t="s">
        <v>20</v>
      </c>
      <c r="B6">
        <v>430000</v>
      </c>
      <c r="C6">
        <f>8926.56+13976.98</f>
        <v>22903.54</v>
      </c>
      <c r="E6">
        <v>600</v>
      </c>
      <c r="F6">
        <v>2000000</v>
      </c>
      <c r="I6">
        <v>140.69999999999999</v>
      </c>
      <c r="J6">
        <v>8400000</v>
      </c>
      <c r="K6">
        <v>11500000</v>
      </c>
      <c r="L6">
        <v>111418</v>
      </c>
      <c r="M6">
        <v>0</v>
      </c>
    </row>
    <row r="7" spans="1:14" hidden="1" x14ac:dyDescent="0.35">
      <c r="A7" t="s">
        <v>21</v>
      </c>
      <c r="B7">
        <v>242000</v>
      </c>
      <c r="C7">
        <v>27534.77</v>
      </c>
      <c r="M7">
        <v>0</v>
      </c>
    </row>
    <row r="8" spans="1:14" hidden="1" x14ac:dyDescent="0.35">
      <c r="A8" t="s">
        <v>22</v>
      </c>
      <c r="B8">
        <v>863000</v>
      </c>
      <c r="C8">
        <v>16526.43</v>
      </c>
      <c r="D8">
        <v>22770.63</v>
      </c>
      <c r="G8">
        <v>85.3</v>
      </c>
      <c r="H8">
        <v>367000</v>
      </c>
      <c r="M8">
        <v>1</v>
      </c>
    </row>
    <row r="9" spans="1:14" hidden="1" x14ac:dyDescent="0.35">
      <c r="A9" t="s">
        <v>23</v>
      </c>
      <c r="B9">
        <v>23420</v>
      </c>
      <c r="C9">
        <f>73194.82+8788.78</f>
        <v>81983.600000000006</v>
      </c>
      <c r="D9">
        <v>2058511.91</v>
      </c>
      <c r="E9">
        <v>175</v>
      </c>
      <c r="F9">
        <v>1000000</v>
      </c>
      <c r="M9">
        <v>1</v>
      </c>
    </row>
    <row r="10" spans="1:14" hidden="1" x14ac:dyDescent="0.35">
      <c r="A10" t="s">
        <v>24</v>
      </c>
      <c r="B10">
        <v>45000</v>
      </c>
      <c r="E10">
        <v>200</v>
      </c>
      <c r="F10">
        <v>444000</v>
      </c>
      <c r="I10">
        <v>14</v>
      </c>
      <c r="J10">
        <v>1600000</v>
      </c>
      <c r="M10">
        <v>1</v>
      </c>
    </row>
    <row r="11" spans="1:14" hidden="1" x14ac:dyDescent="0.35">
      <c r="A11" t="s">
        <v>25</v>
      </c>
      <c r="B11">
        <v>28333.33</v>
      </c>
      <c r="D11">
        <v>5715.89</v>
      </c>
      <c r="G11">
        <v>67.5</v>
      </c>
      <c r="H11">
        <v>320000</v>
      </c>
      <c r="K11">
        <v>340000</v>
      </c>
      <c r="L11">
        <v>7778.87</v>
      </c>
      <c r="M11">
        <v>1</v>
      </c>
      <c r="N11">
        <v>191409.39</v>
      </c>
    </row>
    <row r="12" spans="1:14" hidden="1" x14ac:dyDescent="0.35">
      <c r="A12" t="s">
        <v>26</v>
      </c>
      <c r="B12">
        <v>110000</v>
      </c>
      <c r="E12">
        <v>170</v>
      </c>
      <c r="F12">
        <v>300000</v>
      </c>
      <c r="K12">
        <v>40000</v>
      </c>
      <c r="M12">
        <v>2</v>
      </c>
      <c r="N12">
        <v>67850</v>
      </c>
    </row>
    <row r="13" spans="1:14" hidden="1" x14ac:dyDescent="0.35">
      <c r="A13" t="s">
        <v>27</v>
      </c>
      <c r="E13">
        <v>80</v>
      </c>
      <c r="F13">
        <v>100000</v>
      </c>
      <c r="G13">
        <v>37</v>
      </c>
      <c r="H13">
        <v>100000</v>
      </c>
      <c r="I13">
        <v>1.56</v>
      </c>
      <c r="J13">
        <v>20000</v>
      </c>
      <c r="M13">
        <v>2</v>
      </c>
      <c r="N13">
        <v>38975</v>
      </c>
    </row>
    <row r="14" spans="1:14" hidden="1" x14ac:dyDescent="0.35">
      <c r="A14" t="s">
        <v>28</v>
      </c>
      <c r="B14">
        <v>361125.22</v>
      </c>
      <c r="G14" t="s">
        <v>29</v>
      </c>
      <c r="H14" t="s">
        <v>30</v>
      </c>
      <c r="M14">
        <v>1</v>
      </c>
    </row>
    <row r="15" spans="1:14" hidden="1" x14ac:dyDescent="0.35">
      <c r="A15" t="s">
        <v>31</v>
      </c>
      <c r="B15">
        <v>346000</v>
      </c>
      <c r="D15">
        <v>36000</v>
      </c>
      <c r="E15">
        <v>198</v>
      </c>
      <c r="F15">
        <v>400000</v>
      </c>
      <c r="K15">
        <v>30000</v>
      </c>
      <c r="M15">
        <v>1</v>
      </c>
    </row>
    <row r="16" spans="1:14" hidden="1" x14ac:dyDescent="0.35">
      <c r="A16" t="s">
        <v>32</v>
      </c>
      <c r="B16">
        <v>94409.85</v>
      </c>
      <c r="G16">
        <v>62</v>
      </c>
      <c r="H16">
        <f>270000+15000</f>
        <v>285000</v>
      </c>
      <c r="K16">
        <f>450000+26000</f>
        <v>476000</v>
      </c>
      <c r="M16">
        <v>1</v>
      </c>
      <c r="N16">
        <v>379721.57</v>
      </c>
    </row>
    <row r="17" spans="1:14" hidden="1" x14ac:dyDescent="0.35">
      <c r="A17" t="s">
        <v>33</v>
      </c>
      <c r="B17">
        <v>135000</v>
      </c>
      <c r="C17">
        <f>18115.19+19736.37</f>
        <v>37851.56</v>
      </c>
      <c r="E17">
        <v>220</v>
      </c>
      <c r="F17">
        <v>220000</v>
      </c>
      <c r="I17">
        <v>10.81</v>
      </c>
      <c r="J17">
        <v>360000</v>
      </c>
      <c r="M17">
        <v>4</v>
      </c>
      <c r="N17">
        <v>25500</v>
      </c>
    </row>
    <row r="18" spans="1:14" hidden="1" x14ac:dyDescent="0.35">
      <c r="A18" t="s">
        <v>34</v>
      </c>
      <c r="B18">
        <v>4209.34</v>
      </c>
      <c r="C18">
        <v>27318.82</v>
      </c>
      <c r="K18">
        <v>500000</v>
      </c>
      <c r="L18">
        <v>6251.7</v>
      </c>
      <c r="M18">
        <v>0</v>
      </c>
      <c r="N18">
        <v>72477</v>
      </c>
    </row>
    <row r="19" spans="1:14" hidden="1" x14ac:dyDescent="0.35">
      <c r="A19" t="s">
        <v>35</v>
      </c>
      <c r="B19">
        <v>54940.17</v>
      </c>
      <c r="E19">
        <v>120</v>
      </c>
      <c r="F19">
        <v>400000</v>
      </c>
      <c r="G19">
        <v>78.709999999999994</v>
      </c>
      <c r="H19">
        <v>450000</v>
      </c>
      <c r="I19">
        <v>2.9447999999999999</v>
      </c>
      <c r="J19">
        <v>250000</v>
      </c>
      <c r="M19">
        <v>1</v>
      </c>
    </row>
    <row r="20" spans="1:14" hidden="1" x14ac:dyDescent="0.35">
      <c r="A20" t="s">
        <v>36</v>
      </c>
      <c r="B20">
        <v>17621</v>
      </c>
      <c r="C20">
        <v>20907.12</v>
      </c>
      <c r="E20">
        <v>80</v>
      </c>
      <c r="F20">
        <v>160000</v>
      </c>
      <c r="I20">
        <v>18.78</v>
      </c>
      <c r="J20">
        <v>127000</v>
      </c>
      <c r="K20">
        <v>140000</v>
      </c>
      <c r="M20">
        <v>1</v>
      </c>
      <c r="N20">
        <v>185114</v>
      </c>
    </row>
    <row r="21" spans="1:14" hidden="1" x14ac:dyDescent="0.35">
      <c r="A21" t="s">
        <v>37</v>
      </c>
      <c r="E21">
        <v>148</v>
      </c>
      <c r="F21">
        <v>290000</v>
      </c>
      <c r="K21">
        <v>7000</v>
      </c>
      <c r="M21">
        <v>1</v>
      </c>
      <c r="N21">
        <v>17000</v>
      </c>
    </row>
    <row r="22" spans="1:14" hidden="1" x14ac:dyDescent="0.35">
      <c r="A22" t="s">
        <v>38</v>
      </c>
      <c r="B22">
        <v>248000</v>
      </c>
      <c r="G22">
        <v>83</v>
      </c>
      <c r="H22">
        <v>200000</v>
      </c>
      <c r="K22">
        <v>130000</v>
      </c>
      <c r="M22">
        <v>2</v>
      </c>
      <c r="N22">
        <f>1107080+70000+13000+35800</f>
        <v>1225880</v>
      </c>
    </row>
    <row r="23" spans="1:14" hidden="1" x14ac:dyDescent="0.35">
      <c r="A23" t="s">
        <v>39</v>
      </c>
      <c r="B23">
        <v>142000</v>
      </c>
      <c r="M23">
        <v>1</v>
      </c>
    </row>
    <row r="24" spans="1:14" hidden="1" x14ac:dyDescent="0.35">
      <c r="A24" t="s">
        <v>40</v>
      </c>
      <c r="B24">
        <v>19222.22</v>
      </c>
      <c r="C24">
        <v>453.56</v>
      </c>
      <c r="G24">
        <v>90</v>
      </c>
      <c r="H24">
        <v>1000000</v>
      </c>
      <c r="M24">
        <v>1</v>
      </c>
    </row>
    <row r="25" spans="1:14" hidden="1" x14ac:dyDescent="0.35">
      <c r="A25" t="s">
        <v>41</v>
      </c>
      <c r="B25">
        <v>426000</v>
      </c>
      <c r="C25">
        <f>8832.29+8816.8</f>
        <v>17649.09</v>
      </c>
      <c r="D25">
        <v>55000</v>
      </c>
      <c r="E25">
        <v>150</v>
      </c>
      <c r="F25">
        <v>500000</v>
      </c>
      <c r="K25">
        <v>270000</v>
      </c>
      <c r="M25">
        <v>2</v>
      </c>
    </row>
    <row r="26" spans="1:14" hidden="1" x14ac:dyDescent="0.35">
      <c r="A26" t="s">
        <v>42</v>
      </c>
      <c r="B26">
        <v>503400</v>
      </c>
      <c r="C26">
        <f>30875.74+5579.02</f>
        <v>36454.76</v>
      </c>
      <c r="E26">
        <v>253</v>
      </c>
      <c r="F26">
        <v>700000</v>
      </c>
      <c r="K26">
        <v>90000</v>
      </c>
      <c r="M26">
        <v>1</v>
      </c>
      <c r="N26">
        <v>13020.65</v>
      </c>
    </row>
    <row r="27" spans="1:14" hidden="1" x14ac:dyDescent="0.35">
      <c r="A27" t="s">
        <v>43</v>
      </c>
      <c r="B27">
        <v>320000</v>
      </c>
      <c r="C27">
        <v>929.63</v>
      </c>
      <c r="D27">
        <v>40000</v>
      </c>
      <c r="E27">
        <v>155.78</v>
      </c>
      <c r="F27">
        <v>500000</v>
      </c>
      <c r="G27">
        <v>49.23</v>
      </c>
      <c r="H27">
        <v>150000</v>
      </c>
      <c r="K27">
        <v>250000</v>
      </c>
      <c r="M27">
        <v>1</v>
      </c>
    </row>
    <row r="28" spans="1:14" hidden="1" x14ac:dyDescent="0.35">
      <c r="A28" t="s">
        <v>44</v>
      </c>
      <c r="B28">
        <v>36600</v>
      </c>
      <c r="C28">
        <v>464.86</v>
      </c>
      <c r="K28">
        <v>3000</v>
      </c>
      <c r="M28">
        <v>1</v>
      </c>
    </row>
    <row r="29" spans="1:14" hidden="1" x14ac:dyDescent="0.35">
      <c r="A29" t="s">
        <v>45</v>
      </c>
      <c r="B29">
        <v>280000</v>
      </c>
      <c r="M29">
        <v>0</v>
      </c>
    </row>
    <row r="30" spans="1:14" hidden="1" x14ac:dyDescent="0.35">
      <c r="A30" t="s">
        <v>46</v>
      </c>
      <c r="B30">
        <f>60000+12530.38</f>
        <v>72530.38</v>
      </c>
      <c r="M30">
        <v>2</v>
      </c>
      <c r="N30">
        <v>30000</v>
      </c>
    </row>
    <row r="31" spans="1:14" hidden="1" x14ac:dyDescent="0.35">
      <c r="A31" t="s">
        <v>47</v>
      </c>
      <c r="B31">
        <f>300000+134000</f>
        <v>434000</v>
      </c>
      <c r="E31">
        <v>150</v>
      </c>
      <c r="F31">
        <v>430000</v>
      </c>
      <c r="G31">
        <v>41.13</v>
      </c>
      <c r="H31">
        <v>294000</v>
      </c>
      <c r="K31">
        <v>66000</v>
      </c>
      <c r="M31">
        <v>1</v>
      </c>
    </row>
    <row r="32" spans="1:14" hidden="1" x14ac:dyDescent="0.35">
      <c r="A32" t="s">
        <v>48</v>
      </c>
      <c r="B32">
        <v>50000</v>
      </c>
      <c r="C32">
        <f>18591.14+11282.46</f>
        <v>29873.599999999999</v>
      </c>
      <c r="E32">
        <v>200</v>
      </c>
      <c r="F32">
        <v>700000</v>
      </c>
      <c r="G32">
        <v>74</v>
      </c>
      <c r="H32">
        <v>700000</v>
      </c>
      <c r="M32">
        <v>3</v>
      </c>
      <c r="N32">
        <v>425000</v>
      </c>
    </row>
    <row r="33" spans="1:14" hidden="1" x14ac:dyDescent="0.35">
      <c r="A33" t="s">
        <v>49</v>
      </c>
      <c r="B33">
        <v>8000</v>
      </c>
      <c r="E33">
        <v>220</v>
      </c>
      <c r="F33">
        <v>75000</v>
      </c>
      <c r="I33">
        <v>43.55</v>
      </c>
      <c r="K33">
        <v>1000000</v>
      </c>
      <c r="M33">
        <v>1</v>
      </c>
      <c r="N33">
        <f>551185.77+270000</f>
        <v>821185.77</v>
      </c>
    </row>
    <row r="34" spans="1:14" hidden="1" x14ac:dyDescent="0.35">
      <c r="A34" t="s">
        <v>50</v>
      </c>
      <c r="B34">
        <v>75606</v>
      </c>
      <c r="E34">
        <v>76.400000000000006</v>
      </c>
      <c r="F34">
        <v>275000</v>
      </c>
      <c r="G34">
        <v>61.7</v>
      </c>
      <c r="H34">
        <v>170000</v>
      </c>
      <c r="M34">
        <v>1</v>
      </c>
    </row>
    <row r="35" spans="1:14" hidden="1" x14ac:dyDescent="0.35">
      <c r="A35" t="s">
        <v>51</v>
      </c>
      <c r="B35">
        <v>36877.269999999997</v>
      </c>
      <c r="M35">
        <v>1</v>
      </c>
    </row>
    <row r="36" spans="1:14" hidden="1" x14ac:dyDescent="0.35">
      <c r="A36" t="s">
        <v>52</v>
      </c>
      <c r="B36">
        <v>4576</v>
      </c>
      <c r="C36">
        <v>56.34</v>
      </c>
      <c r="M36">
        <v>0</v>
      </c>
    </row>
    <row r="37" spans="1:14" hidden="1" x14ac:dyDescent="0.35">
      <c r="A37" t="s">
        <v>53</v>
      </c>
      <c r="B37">
        <v>8211.49</v>
      </c>
      <c r="E37">
        <v>147</v>
      </c>
      <c r="F37">
        <v>600000</v>
      </c>
      <c r="G37">
        <v>54</v>
      </c>
      <c r="H37">
        <v>250000</v>
      </c>
      <c r="M37">
        <v>1</v>
      </c>
      <c r="N37">
        <v>554473.99</v>
      </c>
    </row>
    <row r="38" spans="1:14" hidden="1" x14ac:dyDescent="0.35">
      <c r="A38" t="s">
        <v>54</v>
      </c>
      <c r="B38">
        <v>100000</v>
      </c>
      <c r="C38">
        <v>440.65</v>
      </c>
      <c r="E38">
        <v>291.39999999999998</v>
      </c>
      <c r="F38">
        <v>1100000</v>
      </c>
      <c r="G38" t="s">
        <v>55</v>
      </c>
      <c r="H38" t="s">
        <v>56</v>
      </c>
      <c r="M38">
        <v>2</v>
      </c>
      <c r="N38">
        <v>148434.67000000001</v>
      </c>
    </row>
    <row r="39" spans="1:14" hidden="1" x14ac:dyDescent="0.35">
      <c r="A39" t="s">
        <v>57</v>
      </c>
      <c r="B39">
        <v>39500</v>
      </c>
      <c r="D39">
        <v>9708</v>
      </c>
      <c r="E39">
        <v>120</v>
      </c>
      <c r="F39">
        <v>380000</v>
      </c>
      <c r="G39">
        <v>70</v>
      </c>
      <c r="H39">
        <v>320000</v>
      </c>
      <c r="K39">
        <v>520000</v>
      </c>
      <c r="M39">
        <v>3</v>
      </c>
      <c r="N39">
        <f>20733.1+11108.19+20400</f>
        <v>52241.29</v>
      </c>
    </row>
    <row r="40" spans="1:14" hidden="1" x14ac:dyDescent="0.35">
      <c r="A40" t="s">
        <v>58</v>
      </c>
      <c r="B40">
        <f>62727+153335.3</f>
        <v>216062.3</v>
      </c>
      <c r="E40">
        <v>170</v>
      </c>
      <c r="F40">
        <v>400000</v>
      </c>
      <c r="I40">
        <v>2.7545999999999999</v>
      </c>
      <c r="J40">
        <v>28000</v>
      </c>
      <c r="M40">
        <v>2</v>
      </c>
    </row>
    <row r="41" spans="1:14" hidden="1" x14ac:dyDescent="0.35">
      <c r="A41" t="s">
        <v>59</v>
      </c>
      <c r="B41">
        <v>85000</v>
      </c>
      <c r="G41">
        <v>74</v>
      </c>
      <c r="H41">
        <v>450000</v>
      </c>
      <c r="L41">
        <f>25*1000</f>
        <v>25000</v>
      </c>
      <c r="M41">
        <v>2</v>
      </c>
      <c r="N41">
        <v>14884</v>
      </c>
    </row>
    <row r="42" spans="1:14" hidden="1" x14ac:dyDescent="0.35">
      <c r="A42" t="s">
        <v>60</v>
      </c>
      <c r="B42">
        <v>655000</v>
      </c>
      <c r="G42">
        <v>79</v>
      </c>
      <c r="H42">
        <v>780000</v>
      </c>
      <c r="K42">
        <v>50000</v>
      </c>
      <c r="M42">
        <v>1</v>
      </c>
      <c r="N42">
        <v>35000</v>
      </c>
    </row>
    <row r="43" spans="1:14" hidden="1" x14ac:dyDescent="0.35">
      <c r="A43" t="s">
        <v>61</v>
      </c>
      <c r="B43">
        <v>905000</v>
      </c>
      <c r="C43">
        <f>1608.71+13476.99+9446.19+55.03</f>
        <v>24586.92</v>
      </c>
      <c r="E43">
        <v>120</v>
      </c>
      <c r="F43">
        <v>270000</v>
      </c>
      <c r="K43">
        <v>55000</v>
      </c>
      <c r="M43">
        <v>2</v>
      </c>
    </row>
    <row r="44" spans="1:14" hidden="1" x14ac:dyDescent="0.35">
      <c r="A44" t="s">
        <v>62</v>
      </c>
      <c r="B44">
        <v>10000</v>
      </c>
      <c r="G44">
        <v>87.9</v>
      </c>
      <c r="H44">
        <v>250000</v>
      </c>
      <c r="K44">
        <v>25000</v>
      </c>
      <c r="M44">
        <v>2</v>
      </c>
      <c r="N44">
        <v>186707.91</v>
      </c>
    </row>
    <row r="45" spans="1:14" hidden="1" x14ac:dyDescent="0.35">
      <c r="A45" t="s">
        <v>63</v>
      </c>
      <c r="B45">
        <v>4000</v>
      </c>
      <c r="G45">
        <v>92</v>
      </c>
      <c r="H45">
        <v>600000</v>
      </c>
      <c r="K45">
        <v>298000</v>
      </c>
      <c r="M45">
        <v>1</v>
      </c>
      <c r="N45">
        <v>310956.09999999998</v>
      </c>
    </row>
    <row r="46" spans="1:14" hidden="1" x14ac:dyDescent="0.35">
      <c r="A46" t="s">
        <v>64</v>
      </c>
      <c r="B46">
        <v>20890.990000000002</v>
      </c>
      <c r="K46">
        <v>360000</v>
      </c>
      <c r="M46">
        <v>2</v>
      </c>
      <c r="N46">
        <f>6333.87+19242.62</f>
        <v>25576.489999999998</v>
      </c>
    </row>
    <row r="47" spans="1:14" hidden="1" x14ac:dyDescent="0.35">
      <c r="A47" t="s">
        <v>65</v>
      </c>
      <c r="B47">
        <v>75000</v>
      </c>
      <c r="E47">
        <v>110</v>
      </c>
      <c r="F47">
        <v>250000</v>
      </c>
      <c r="M47">
        <v>1</v>
      </c>
      <c r="N47">
        <v>10367</v>
      </c>
    </row>
    <row r="48" spans="1:14" hidden="1" x14ac:dyDescent="0.35">
      <c r="A48" t="s">
        <v>66</v>
      </c>
      <c r="B48">
        <v>36000</v>
      </c>
      <c r="C48">
        <v>143886.39000000001</v>
      </c>
      <c r="E48">
        <v>170</v>
      </c>
      <c r="F48">
        <v>490000</v>
      </c>
      <c r="I48">
        <v>2.7</v>
      </c>
      <c r="J48">
        <f>640000-F48</f>
        <v>150000</v>
      </c>
      <c r="M48">
        <v>2</v>
      </c>
    </row>
    <row r="49" spans="1:14" hidden="1" x14ac:dyDescent="0.35">
      <c r="A49" t="s">
        <v>67</v>
      </c>
      <c r="B49">
        <v>95000</v>
      </c>
      <c r="C49">
        <f>11.02+395.08</f>
        <v>406.09999999999997</v>
      </c>
      <c r="E49">
        <v>90</v>
      </c>
      <c r="F49">
        <v>120000</v>
      </c>
      <c r="G49">
        <v>31</v>
      </c>
      <c r="H49">
        <v>90000</v>
      </c>
      <c r="I49">
        <v>3.96</v>
      </c>
      <c r="J49">
        <v>120000</v>
      </c>
      <c r="K49">
        <v>250000</v>
      </c>
      <c r="M49">
        <v>2</v>
      </c>
      <c r="N49">
        <f>420000+510000</f>
        <v>930000</v>
      </c>
    </row>
    <row r="50" spans="1:14" hidden="1" x14ac:dyDescent="0.35">
      <c r="A50" t="s">
        <v>68</v>
      </c>
      <c r="D50">
        <v>15000</v>
      </c>
      <c r="G50">
        <v>75</v>
      </c>
      <c r="H50">
        <v>250000</v>
      </c>
      <c r="K50">
        <v>300000</v>
      </c>
      <c r="M50">
        <v>0</v>
      </c>
      <c r="N50">
        <v>352000</v>
      </c>
    </row>
    <row r="51" spans="1:14" hidden="1" x14ac:dyDescent="0.35">
      <c r="A51" t="s">
        <v>69</v>
      </c>
      <c r="B51">
        <v>718000</v>
      </c>
      <c r="C51">
        <f>157569.06+13239.33</f>
        <v>170808.38999999998</v>
      </c>
      <c r="E51" t="s">
        <v>70</v>
      </c>
      <c r="F51" t="s">
        <v>71</v>
      </c>
      <c r="G51" t="s">
        <v>72</v>
      </c>
      <c r="H51" t="s">
        <v>73</v>
      </c>
      <c r="I51">
        <v>4.75</v>
      </c>
      <c r="J51">
        <v>92000</v>
      </c>
      <c r="K51">
        <f>2500000+28621+4780000+4290000+1300000+430000+600000+1900000+270000+1500000+450000</f>
        <v>18048621</v>
      </c>
      <c r="L51">
        <v>510200</v>
      </c>
      <c r="M51">
        <v>5</v>
      </c>
      <c r="N51">
        <f>599484.19+590890.95</f>
        <v>1190375.1399999999</v>
      </c>
    </row>
    <row r="52" spans="1:14" hidden="1" x14ac:dyDescent="0.35">
      <c r="A52" t="s">
        <v>74</v>
      </c>
      <c r="B52">
        <f>182400+21847</f>
        <v>204247</v>
      </c>
      <c r="M52">
        <v>1</v>
      </c>
    </row>
    <row r="53" spans="1:14" hidden="1" x14ac:dyDescent="0.35">
      <c r="A53" t="s">
        <v>75</v>
      </c>
      <c r="B53">
        <v>10000</v>
      </c>
      <c r="C53">
        <v>882.62</v>
      </c>
      <c r="G53" t="s">
        <v>76</v>
      </c>
      <c r="H53" t="s">
        <v>77</v>
      </c>
      <c r="M53">
        <v>1</v>
      </c>
      <c r="N53">
        <v>358230</v>
      </c>
    </row>
    <row r="54" spans="1:14" hidden="1" x14ac:dyDescent="0.35">
      <c r="A54" t="s">
        <v>78</v>
      </c>
      <c r="B54">
        <v>280000</v>
      </c>
      <c r="G54" t="s">
        <v>79</v>
      </c>
      <c r="H54" t="s">
        <v>80</v>
      </c>
      <c r="K54">
        <v>20000</v>
      </c>
      <c r="M54">
        <v>1</v>
      </c>
    </row>
    <row r="55" spans="1:14" hidden="1" x14ac:dyDescent="0.35">
      <c r="A55" t="s">
        <v>81</v>
      </c>
      <c r="B55">
        <v>18780</v>
      </c>
      <c r="E55">
        <v>220</v>
      </c>
      <c r="M55">
        <v>0</v>
      </c>
      <c r="N55">
        <v>422352.44</v>
      </c>
    </row>
    <row r="56" spans="1:14" hidden="1" x14ac:dyDescent="0.35">
      <c r="A56" t="s">
        <v>82</v>
      </c>
      <c r="B56">
        <v>10000</v>
      </c>
      <c r="E56">
        <v>280</v>
      </c>
      <c r="F56">
        <v>800000</v>
      </c>
      <c r="K56">
        <v>35000</v>
      </c>
      <c r="M56">
        <v>1</v>
      </c>
      <c r="N56">
        <v>53800</v>
      </c>
    </row>
    <row r="57" spans="1:14" hidden="1" x14ac:dyDescent="0.35">
      <c r="A57" t="s">
        <v>83</v>
      </c>
      <c r="B57">
        <f>80595+24000+30000</f>
        <v>134595</v>
      </c>
      <c r="C57">
        <v>9297.91</v>
      </c>
      <c r="D57">
        <v>85454</v>
      </c>
      <c r="E57">
        <v>255.51</v>
      </c>
      <c r="F57">
        <v>1200000</v>
      </c>
      <c r="G57">
        <v>35.200000000000003</v>
      </c>
      <c r="H57">
        <v>300000</v>
      </c>
      <c r="K57">
        <v>2000000</v>
      </c>
      <c r="M57">
        <v>0</v>
      </c>
      <c r="N57">
        <v>238189.21</v>
      </c>
    </row>
    <row r="58" spans="1:14" hidden="1" x14ac:dyDescent="0.35">
      <c r="A58" t="s">
        <v>84</v>
      </c>
      <c r="B58">
        <v>20000</v>
      </c>
      <c r="I58">
        <v>1.5</v>
      </c>
      <c r="J58">
        <v>40000</v>
      </c>
      <c r="K58">
        <v>140000</v>
      </c>
      <c r="M58">
        <v>1</v>
      </c>
      <c r="N58">
        <v>44280</v>
      </c>
    </row>
    <row r="59" spans="1:14" hidden="1" x14ac:dyDescent="0.35">
      <c r="A59" t="s">
        <v>85</v>
      </c>
      <c r="B59">
        <f>304546.23+185000+199000</f>
        <v>688546.23</v>
      </c>
      <c r="C59">
        <v>4622.46</v>
      </c>
      <c r="D59">
        <v>353918.31</v>
      </c>
      <c r="G59">
        <v>130</v>
      </c>
      <c r="H59">
        <v>380000</v>
      </c>
      <c r="M59">
        <v>1</v>
      </c>
    </row>
    <row r="60" spans="1:14" hidden="1" x14ac:dyDescent="0.35">
      <c r="A60" t="s">
        <v>86</v>
      </c>
      <c r="B60">
        <v>59687</v>
      </c>
      <c r="E60">
        <v>153</v>
      </c>
      <c r="F60">
        <v>700000</v>
      </c>
      <c r="K60">
        <v>900000</v>
      </c>
      <c r="M60">
        <v>1</v>
      </c>
    </row>
    <row r="61" spans="1:14" hidden="1" x14ac:dyDescent="0.35">
      <c r="A61" t="s">
        <v>87</v>
      </c>
      <c r="B61">
        <v>4500</v>
      </c>
      <c r="C61">
        <v>650733.30000000005</v>
      </c>
      <c r="E61">
        <v>350</v>
      </c>
      <c r="F61">
        <v>990000</v>
      </c>
      <c r="I61">
        <v>1.18</v>
      </c>
      <c r="M61">
        <v>1</v>
      </c>
      <c r="N61">
        <f>177487.35+30000+30000+2200</f>
        <v>239687.35</v>
      </c>
    </row>
    <row r="62" spans="1:14" hidden="1" x14ac:dyDescent="0.35">
      <c r="A62" t="s">
        <v>88</v>
      </c>
      <c r="B62">
        <f>78527+61204</f>
        <v>139731</v>
      </c>
      <c r="C62">
        <f>55760.98+37609.09+54700.57</f>
        <v>148070.64000000001</v>
      </c>
      <c r="E62">
        <v>240</v>
      </c>
      <c r="F62">
        <v>350000</v>
      </c>
      <c r="G62">
        <v>46.5</v>
      </c>
      <c r="H62">
        <v>140000</v>
      </c>
      <c r="K62">
        <v>350000</v>
      </c>
      <c r="M62">
        <v>0</v>
      </c>
    </row>
    <row r="63" spans="1:14" x14ac:dyDescent="0.35">
      <c r="A63" s="2" t="s">
        <v>89</v>
      </c>
    </row>
    <row r="64" spans="1:14" hidden="1" x14ac:dyDescent="0.35">
      <c r="A64" t="s">
        <v>90</v>
      </c>
      <c r="B64">
        <v>139416</v>
      </c>
      <c r="G64" t="s">
        <v>91</v>
      </c>
      <c r="H64" t="s">
        <v>92</v>
      </c>
      <c r="K64">
        <v>12000</v>
      </c>
      <c r="M64">
        <v>0</v>
      </c>
      <c r="N64">
        <v>2260.92</v>
      </c>
    </row>
    <row r="65" spans="1:14" hidden="1" x14ac:dyDescent="0.35">
      <c r="A65" t="s">
        <v>93</v>
      </c>
      <c r="B65">
        <f>152000+52500</f>
        <v>204500</v>
      </c>
      <c r="C65">
        <v>2322.62</v>
      </c>
      <c r="E65">
        <f>99+108</f>
        <v>207</v>
      </c>
      <c r="F65">
        <v>600000</v>
      </c>
      <c r="K65">
        <v>46000</v>
      </c>
      <c r="M65">
        <v>1</v>
      </c>
    </row>
    <row r="66" spans="1:14" hidden="1" x14ac:dyDescent="0.35">
      <c r="A66" t="s">
        <v>94</v>
      </c>
      <c r="B66">
        <v>17000</v>
      </c>
      <c r="E66">
        <v>136</v>
      </c>
      <c r="F66">
        <v>500000</v>
      </c>
      <c r="I66">
        <v>4.13</v>
      </c>
      <c r="J66">
        <v>400000</v>
      </c>
      <c r="M66">
        <v>2</v>
      </c>
      <c r="N66">
        <f>303651.41+39051.86</f>
        <v>342703.26999999996</v>
      </c>
    </row>
    <row r="67" spans="1:14" hidden="1" x14ac:dyDescent="0.35">
      <c r="A67" t="s">
        <v>95</v>
      </c>
      <c r="B67">
        <v>260000</v>
      </c>
      <c r="E67">
        <v>200</v>
      </c>
      <c r="F67">
        <v>700000</v>
      </c>
      <c r="K67">
        <f>150000+65000+15000+13000+40000+250000+30000</f>
        <v>563000</v>
      </c>
      <c r="M67">
        <v>1</v>
      </c>
    </row>
    <row r="68" spans="1:14" hidden="1" x14ac:dyDescent="0.35">
      <c r="A68" t="s">
        <v>96</v>
      </c>
      <c r="B68">
        <v>970000</v>
      </c>
      <c r="E68">
        <v>170</v>
      </c>
      <c r="F68">
        <v>200000</v>
      </c>
      <c r="K68">
        <v>100000</v>
      </c>
      <c r="M68">
        <v>1</v>
      </c>
    </row>
    <row r="69" spans="1:14" hidden="1" x14ac:dyDescent="0.35">
      <c r="A69" t="s">
        <v>97</v>
      </c>
      <c r="B69">
        <v>176000</v>
      </c>
      <c r="C69">
        <v>883.41</v>
      </c>
      <c r="G69">
        <v>68.099999999999994</v>
      </c>
      <c r="H69">
        <v>204000</v>
      </c>
      <c r="M69">
        <v>1</v>
      </c>
      <c r="N69">
        <v>111183</v>
      </c>
    </row>
    <row r="70" spans="1:14" hidden="1" x14ac:dyDescent="0.35">
      <c r="A70" t="s">
        <v>98</v>
      </c>
      <c r="B70">
        <v>20265.41</v>
      </c>
      <c r="D70">
        <f>33200+40100</f>
        <v>73300</v>
      </c>
      <c r="E70">
        <v>170</v>
      </c>
      <c r="F70">
        <v>500000</v>
      </c>
      <c r="K70">
        <v>240000</v>
      </c>
      <c r="M70">
        <v>0</v>
      </c>
      <c r="N70">
        <v>140000</v>
      </c>
    </row>
    <row r="71" spans="1:14" hidden="1" x14ac:dyDescent="0.35">
      <c r="A71" t="s">
        <v>99</v>
      </c>
      <c r="B71">
        <v>13700</v>
      </c>
      <c r="E71">
        <v>259.5</v>
      </c>
      <c r="F71">
        <v>700000</v>
      </c>
      <c r="I71">
        <v>5.3480999999999996</v>
      </c>
      <c r="J71">
        <v>300000</v>
      </c>
      <c r="K71">
        <f>200000+100000</f>
        <v>300000</v>
      </c>
      <c r="M71">
        <v>1</v>
      </c>
      <c r="N71">
        <v>61940.94</v>
      </c>
    </row>
    <row r="72" spans="1:14" hidden="1" x14ac:dyDescent="0.35">
      <c r="A72" t="s">
        <v>100</v>
      </c>
      <c r="B72">
        <v>107320.28</v>
      </c>
      <c r="E72">
        <v>160</v>
      </c>
      <c r="F72">
        <v>250000</v>
      </c>
      <c r="G72">
        <v>35.82</v>
      </c>
      <c r="H72">
        <v>122000</v>
      </c>
      <c r="I72">
        <v>1.67</v>
      </c>
      <c r="J72">
        <v>50000</v>
      </c>
      <c r="K72">
        <f>100000+150000+30000+10000</f>
        <v>290000</v>
      </c>
      <c r="M72">
        <v>2</v>
      </c>
      <c r="N72">
        <v>147192.48000000001</v>
      </c>
    </row>
    <row r="73" spans="1:14" hidden="1" x14ac:dyDescent="0.35">
      <c r="A73" t="s">
        <v>101</v>
      </c>
      <c r="B73">
        <v>19500</v>
      </c>
      <c r="E73">
        <v>210.4</v>
      </c>
      <c r="F73">
        <v>840000</v>
      </c>
      <c r="K73">
        <v>20000</v>
      </c>
      <c r="L73">
        <f>18000</f>
        <v>18000</v>
      </c>
      <c r="M73">
        <v>1</v>
      </c>
      <c r="N73">
        <f>289556.22+35000+30000+20000+100000</f>
        <v>474556.22</v>
      </c>
    </row>
    <row r="74" spans="1:14" hidden="1" x14ac:dyDescent="0.35">
      <c r="A74" t="s">
        <v>102</v>
      </c>
      <c r="E74">
        <v>220</v>
      </c>
      <c r="F74">
        <v>900000</v>
      </c>
      <c r="G74">
        <v>96</v>
      </c>
      <c r="H74">
        <v>650000</v>
      </c>
      <c r="M74">
        <v>1</v>
      </c>
      <c r="N74">
        <f>343654+63659</f>
        <v>407313</v>
      </c>
    </row>
    <row r="75" spans="1:14" hidden="1" x14ac:dyDescent="0.35">
      <c r="A75" t="s">
        <v>103</v>
      </c>
      <c r="B75">
        <v>122000</v>
      </c>
      <c r="M75">
        <v>3</v>
      </c>
    </row>
    <row r="76" spans="1:14" hidden="1" x14ac:dyDescent="0.35">
      <c r="A76" t="s">
        <v>104</v>
      </c>
      <c r="B76">
        <v>670000</v>
      </c>
      <c r="C76">
        <f>444.28+2324.68+220.78+5504.6</f>
        <v>8494.34</v>
      </c>
      <c r="M76">
        <v>0</v>
      </c>
    </row>
    <row r="77" spans="1:14" hidden="1" x14ac:dyDescent="0.35">
      <c r="A77" t="s">
        <v>105</v>
      </c>
      <c r="B77">
        <v>67021.47</v>
      </c>
      <c r="C77">
        <f>3364.62</f>
        <v>3364.62</v>
      </c>
      <c r="E77">
        <v>130</v>
      </c>
      <c r="F77">
        <v>170000</v>
      </c>
      <c r="G77">
        <v>106.45</v>
      </c>
      <c r="H77">
        <v>230000</v>
      </c>
      <c r="K77">
        <f>50000+30000+57000</f>
        <v>137000</v>
      </c>
      <c r="M77">
        <v>1</v>
      </c>
      <c r="N77">
        <f>157445.96+30700</f>
        <v>188145.96</v>
      </c>
    </row>
    <row r="78" spans="1:14" hidden="1" x14ac:dyDescent="0.35">
      <c r="A78" t="s">
        <v>106</v>
      </c>
      <c r="B78">
        <v>73000</v>
      </c>
      <c r="C78">
        <v>26500</v>
      </c>
      <c r="E78">
        <v>220</v>
      </c>
      <c r="F78">
        <v>500000</v>
      </c>
      <c r="K78">
        <v>150000</v>
      </c>
      <c r="M78">
        <v>2</v>
      </c>
    </row>
    <row r="79" spans="1:14" hidden="1" x14ac:dyDescent="0.35">
      <c r="A79" t="s">
        <v>107</v>
      </c>
      <c r="B79">
        <v>42378.94</v>
      </c>
      <c r="K79">
        <v>30000</v>
      </c>
      <c r="M79">
        <v>2</v>
      </c>
      <c r="N79">
        <f>125767.49+17850</f>
        <v>143617.49</v>
      </c>
    </row>
    <row r="80" spans="1:14" hidden="1" x14ac:dyDescent="0.35">
      <c r="A80" t="s">
        <v>108</v>
      </c>
      <c r="B80">
        <v>64156.42</v>
      </c>
      <c r="E80">
        <v>140</v>
      </c>
      <c r="F80">
        <v>800000</v>
      </c>
      <c r="G80">
        <v>50</v>
      </c>
      <c r="H80">
        <v>300000</v>
      </c>
      <c r="M80">
        <v>0</v>
      </c>
      <c r="N80">
        <f>594694.81</f>
        <v>594694.81000000006</v>
      </c>
    </row>
    <row r="81" spans="1:14" hidden="1" x14ac:dyDescent="0.35">
      <c r="A81" t="s">
        <v>109</v>
      </c>
      <c r="B81">
        <v>550000</v>
      </c>
      <c r="E81">
        <v>177</v>
      </c>
      <c r="F81">
        <v>300000</v>
      </c>
      <c r="K81">
        <v>78224</v>
      </c>
      <c r="M81">
        <v>1</v>
      </c>
    </row>
    <row r="82" spans="1:14" hidden="1" x14ac:dyDescent="0.35">
      <c r="A82" t="s">
        <v>110</v>
      </c>
      <c r="B82">
        <f>14585.47+50000+116675.91</f>
        <v>181261.38</v>
      </c>
      <c r="G82">
        <v>45.23</v>
      </c>
      <c r="H82">
        <v>160000</v>
      </c>
      <c r="M82">
        <v>1</v>
      </c>
    </row>
    <row r="83" spans="1:14" x14ac:dyDescent="0.35">
      <c r="A83" s="2" t="s">
        <v>111</v>
      </c>
    </row>
    <row r="84" spans="1:14" hidden="1" x14ac:dyDescent="0.35">
      <c r="A84" t="s">
        <v>112</v>
      </c>
      <c r="B84">
        <v>5000</v>
      </c>
      <c r="C84">
        <v>465.09</v>
      </c>
      <c r="G84">
        <v>45.31</v>
      </c>
      <c r="H84">
        <v>200000</v>
      </c>
      <c r="M84">
        <v>1</v>
      </c>
    </row>
    <row r="85" spans="1:14" hidden="1" x14ac:dyDescent="0.35">
      <c r="A85" t="s">
        <v>113</v>
      </c>
      <c r="B85">
        <v>110000</v>
      </c>
      <c r="C85">
        <f>697.6</f>
        <v>697.6</v>
      </c>
      <c r="E85" t="s">
        <v>114</v>
      </c>
      <c r="F85" t="s">
        <v>115</v>
      </c>
      <c r="K85">
        <f>3700+32000+35000+120000</f>
        <v>190700</v>
      </c>
      <c r="M85">
        <v>2</v>
      </c>
    </row>
    <row r="86" spans="1:14" hidden="1" x14ac:dyDescent="0.35">
      <c r="A86" t="s">
        <v>116</v>
      </c>
      <c r="B86">
        <v>44921.48</v>
      </c>
      <c r="G86">
        <v>39.47</v>
      </c>
      <c r="H86">
        <v>325000</v>
      </c>
      <c r="K86">
        <v>42000</v>
      </c>
      <c r="M86">
        <v>1</v>
      </c>
      <c r="N86">
        <f>146949.29</f>
        <v>146949.29</v>
      </c>
    </row>
    <row r="87" spans="1:14" hidden="1" x14ac:dyDescent="0.35">
      <c r="A87" t="s">
        <v>117</v>
      </c>
      <c r="B87">
        <v>5000</v>
      </c>
      <c r="G87">
        <v>67.180000000000007</v>
      </c>
      <c r="H87">
        <v>398900</v>
      </c>
      <c r="K87">
        <f>1000</f>
        <v>1000</v>
      </c>
      <c r="M87">
        <v>4</v>
      </c>
      <c r="N87">
        <f>205428+15000+34128.6+13600</f>
        <v>268156.59999999998</v>
      </c>
    </row>
    <row r="88" spans="1:14" hidden="1" x14ac:dyDescent="0.35">
      <c r="A88" t="s">
        <v>118</v>
      </c>
      <c r="B88">
        <f>60000</f>
        <v>60000</v>
      </c>
      <c r="E88">
        <v>121.4</v>
      </c>
      <c r="F88">
        <v>680000</v>
      </c>
      <c r="G88">
        <v>72.55</v>
      </c>
      <c r="H88">
        <v>270000</v>
      </c>
      <c r="K88">
        <v>25000</v>
      </c>
      <c r="M88" s="1">
        <v>1</v>
      </c>
      <c r="N88">
        <f>178075.01+103606.03+50000+475251.08+22950</f>
        <v>829882.12000000011</v>
      </c>
    </row>
    <row r="89" spans="1:14" hidden="1" x14ac:dyDescent="0.35">
      <c r="A89" t="s">
        <v>119</v>
      </c>
      <c r="B89">
        <v>5937.55</v>
      </c>
      <c r="D89">
        <v>88828.79</v>
      </c>
      <c r="E89">
        <v>190</v>
      </c>
      <c r="F89">
        <v>280000</v>
      </c>
      <c r="I89">
        <v>1.99</v>
      </c>
      <c r="J89">
        <v>19900</v>
      </c>
      <c r="K89">
        <v>407000</v>
      </c>
      <c r="M89">
        <v>2</v>
      </c>
      <c r="N89">
        <f>256000+30600+17865</f>
        <v>304465</v>
      </c>
    </row>
    <row r="90" spans="1:14" hidden="1" x14ac:dyDescent="0.35">
      <c r="A90" t="s">
        <v>120</v>
      </c>
      <c r="B90">
        <v>60000</v>
      </c>
      <c r="C90">
        <f>20927.85+8825.76</f>
        <v>29753.61</v>
      </c>
      <c r="K90">
        <v>70000</v>
      </c>
      <c r="M90">
        <v>0</v>
      </c>
    </row>
    <row r="91" spans="1:14" hidden="1" x14ac:dyDescent="0.35">
      <c r="A91" t="s">
        <v>121</v>
      </c>
      <c r="B91">
        <v>618297.52</v>
      </c>
      <c r="C91">
        <f>1029.88+1456.38</f>
        <v>2486.2600000000002</v>
      </c>
      <c r="D91">
        <v>87068.57</v>
      </c>
      <c r="M91">
        <v>1</v>
      </c>
    </row>
    <row r="92" spans="1:14" hidden="1" x14ac:dyDescent="0.35">
      <c r="A92" t="s">
        <v>122</v>
      </c>
      <c r="B92">
        <v>482000</v>
      </c>
      <c r="C92">
        <f>4653.11</f>
        <v>4653.1099999999997</v>
      </c>
      <c r="E92">
        <v>270</v>
      </c>
      <c r="F92">
        <v>300000</v>
      </c>
      <c r="G92">
        <v>50</v>
      </c>
      <c r="H92">
        <v>200000</v>
      </c>
      <c r="I92">
        <v>250</v>
      </c>
      <c r="J92">
        <v>10000000</v>
      </c>
      <c r="K92">
        <v>150000</v>
      </c>
      <c r="M92">
        <v>2</v>
      </c>
      <c r="N92">
        <f>1776312+529200+272000</f>
        <v>2577512</v>
      </c>
    </row>
    <row r="93" spans="1:14" hidden="1" x14ac:dyDescent="0.35">
      <c r="A93" t="s">
        <v>123</v>
      </c>
      <c r="B93">
        <v>338299</v>
      </c>
      <c r="C93">
        <v>42082.71</v>
      </c>
      <c r="E93">
        <v>210</v>
      </c>
      <c r="F93">
        <v>495000</v>
      </c>
      <c r="M93">
        <v>2</v>
      </c>
    </row>
    <row r="94" spans="1:14" hidden="1" x14ac:dyDescent="0.35">
      <c r="A94" t="s">
        <v>124</v>
      </c>
      <c r="B94">
        <v>60000</v>
      </c>
      <c r="C94">
        <f>4653.11</f>
        <v>4653.1099999999997</v>
      </c>
      <c r="E94">
        <v>250</v>
      </c>
      <c r="F94">
        <v>450000</v>
      </c>
      <c r="M94">
        <v>1</v>
      </c>
      <c r="N94">
        <f>134772.58</f>
        <v>134772.57999999999</v>
      </c>
    </row>
    <row r="95" spans="1:14" hidden="1" x14ac:dyDescent="0.35">
      <c r="A95" t="s">
        <v>125</v>
      </c>
      <c r="B95">
        <v>8000</v>
      </c>
      <c r="E95">
        <v>130</v>
      </c>
      <c r="F95">
        <v>660000</v>
      </c>
      <c r="G95">
        <v>68.3</v>
      </c>
      <c r="H95">
        <v>500000</v>
      </c>
      <c r="K95">
        <v>60000</v>
      </c>
      <c r="M95">
        <v>1</v>
      </c>
    </row>
    <row r="96" spans="1:14" hidden="1" x14ac:dyDescent="0.35">
      <c r="A96" t="s">
        <v>126</v>
      </c>
      <c r="B96">
        <v>17000</v>
      </c>
      <c r="E96">
        <v>180</v>
      </c>
      <c r="F96">
        <v>410000</v>
      </c>
      <c r="K96">
        <v>550000</v>
      </c>
      <c r="M96">
        <v>4</v>
      </c>
      <c r="N96">
        <f>207081+106252+12788.47</f>
        <v>326121.46999999997</v>
      </c>
    </row>
    <row r="97" spans="1:14" hidden="1" x14ac:dyDescent="0.35">
      <c r="A97" t="s">
        <v>127</v>
      </c>
      <c r="B97">
        <v>100780</v>
      </c>
      <c r="C97">
        <f>4653.11+883.11</f>
        <v>5536.2199999999993</v>
      </c>
      <c r="E97">
        <v>251.59</v>
      </c>
      <c r="F97">
        <v>900000</v>
      </c>
      <c r="M97">
        <v>1</v>
      </c>
      <c r="N97">
        <f>502200+23500</f>
        <v>525700</v>
      </c>
    </row>
    <row r="98" spans="1:14" hidden="1" x14ac:dyDescent="0.35">
      <c r="A98" t="s">
        <v>128</v>
      </c>
      <c r="B98">
        <v>5000</v>
      </c>
      <c r="C98">
        <f>4653.11/10</f>
        <v>465.31099999999998</v>
      </c>
      <c r="D98">
        <v>36614.589999999997</v>
      </c>
      <c r="E98" t="s">
        <v>129</v>
      </c>
      <c r="F98" t="s">
        <v>130</v>
      </c>
      <c r="K98">
        <v>74000</v>
      </c>
      <c r="M98">
        <v>1</v>
      </c>
      <c r="N98">
        <f>22534.88+22350.73+17850</f>
        <v>62735.61</v>
      </c>
    </row>
    <row r="99" spans="1:14" hidden="1" x14ac:dyDescent="0.35">
      <c r="A99" t="s">
        <v>131</v>
      </c>
      <c r="B99">
        <v>700</v>
      </c>
      <c r="C99">
        <f>558.58</f>
        <v>558.58000000000004</v>
      </c>
      <c r="E99">
        <v>271</v>
      </c>
      <c r="F99">
        <v>910000</v>
      </c>
      <c r="G99">
        <v>93</v>
      </c>
      <c r="H99">
        <v>180000</v>
      </c>
      <c r="I99">
        <v>2.3106</v>
      </c>
      <c r="J99">
        <v>369696</v>
      </c>
      <c r="K99">
        <v>417000</v>
      </c>
      <c r="L99">
        <f>9000+978068</f>
        <v>987068</v>
      </c>
      <c r="M99">
        <v>0</v>
      </c>
      <c r="N99">
        <f>511635.55+30300+20000</f>
        <v>561935.55000000005</v>
      </c>
    </row>
    <row r="100" spans="1:14" hidden="1" x14ac:dyDescent="0.35">
      <c r="A100" t="s">
        <v>132</v>
      </c>
      <c r="B100">
        <v>157000</v>
      </c>
      <c r="C100">
        <v>2327.4299999999998</v>
      </c>
      <c r="D100">
        <v>42000</v>
      </c>
      <c r="E100">
        <v>175</v>
      </c>
      <c r="F100">
        <v>850000</v>
      </c>
      <c r="G100">
        <v>89</v>
      </c>
      <c r="H100">
        <v>1200000</v>
      </c>
      <c r="K100">
        <f>1300000+535000+480000</f>
        <v>2315000</v>
      </c>
      <c r="M100">
        <v>2</v>
      </c>
      <c r="N100">
        <f>666184.81+140000</f>
        <v>806184.81</v>
      </c>
    </row>
    <row r="101" spans="1:14" hidden="1" x14ac:dyDescent="0.35">
      <c r="A101" t="s">
        <v>133</v>
      </c>
      <c r="B101">
        <v>410663.81</v>
      </c>
      <c r="M101">
        <v>1</v>
      </c>
      <c r="N101">
        <v>13177.93</v>
      </c>
    </row>
    <row r="102" spans="1:14" hidden="1" x14ac:dyDescent="0.35">
      <c r="A102" t="s">
        <v>134</v>
      </c>
      <c r="B102">
        <v>12000</v>
      </c>
      <c r="E102">
        <v>101</v>
      </c>
      <c r="F102">
        <v>300000</v>
      </c>
      <c r="G102">
        <v>38</v>
      </c>
      <c r="H102">
        <v>250000</v>
      </c>
      <c r="M102">
        <v>0</v>
      </c>
      <c r="N102">
        <v>27200</v>
      </c>
    </row>
    <row r="103" spans="1:14" hidden="1" x14ac:dyDescent="0.35">
      <c r="A103" t="s">
        <v>135</v>
      </c>
      <c r="B103">
        <v>14293.37</v>
      </c>
      <c r="C103">
        <f>37.07</f>
        <v>37.07</v>
      </c>
      <c r="G103">
        <v>44.3</v>
      </c>
      <c r="H103">
        <v>180000</v>
      </c>
      <c r="M103">
        <v>0</v>
      </c>
      <c r="N103">
        <f>110079.12+22950</f>
        <v>133029.12</v>
      </c>
    </row>
    <row r="104" spans="1:14" hidden="1" x14ac:dyDescent="0.35">
      <c r="A104" t="s">
        <v>136</v>
      </c>
      <c r="B104">
        <v>215000</v>
      </c>
      <c r="C104">
        <v>3026.23</v>
      </c>
      <c r="D104">
        <f>26055</f>
        <v>26055</v>
      </c>
      <c r="E104">
        <v>170</v>
      </c>
      <c r="F104">
        <v>1200000</v>
      </c>
      <c r="G104">
        <v>70</v>
      </c>
      <c r="H104">
        <v>350000</v>
      </c>
      <c r="M104">
        <v>2</v>
      </c>
    </row>
    <row r="105" spans="1:14" hidden="1" x14ac:dyDescent="0.35">
      <c r="A105" t="s">
        <v>137</v>
      </c>
      <c r="B105">
        <v>320000</v>
      </c>
      <c r="D105">
        <f>7000+40000+30000+3610</f>
        <v>80610</v>
      </c>
      <c r="E105">
        <v>120</v>
      </c>
      <c r="F105">
        <v>400000</v>
      </c>
      <c r="L105">
        <f>7800</f>
        <v>7800</v>
      </c>
      <c r="M105">
        <v>0</v>
      </c>
    </row>
    <row r="106" spans="1:14" hidden="1" x14ac:dyDescent="0.35">
      <c r="A106" t="s">
        <v>138</v>
      </c>
      <c r="B106">
        <v>112000</v>
      </c>
      <c r="E106">
        <v>160</v>
      </c>
      <c r="F106">
        <v>160000</v>
      </c>
      <c r="K106">
        <f>5000+2500+30000</f>
        <v>37500</v>
      </c>
      <c r="M106">
        <v>1</v>
      </c>
    </row>
    <row r="107" spans="1:14" hidden="1" x14ac:dyDescent="0.35">
      <c r="A107" t="s">
        <v>139</v>
      </c>
      <c r="B107">
        <v>115000</v>
      </c>
      <c r="C107">
        <f>11046.38</f>
        <v>11046.38</v>
      </c>
      <c r="E107">
        <v>400</v>
      </c>
      <c r="F107">
        <v>2000000</v>
      </c>
      <c r="G107">
        <v>58</v>
      </c>
      <c r="H107">
        <v>450000</v>
      </c>
      <c r="K107">
        <v>15000</v>
      </c>
      <c r="M107">
        <v>2</v>
      </c>
    </row>
    <row r="108" spans="1:14" hidden="1" x14ac:dyDescent="0.35">
      <c r="A108" t="s">
        <v>140</v>
      </c>
      <c r="B108">
        <v>60000</v>
      </c>
      <c r="E108" t="s">
        <v>141</v>
      </c>
      <c r="F108" t="s">
        <v>142</v>
      </c>
      <c r="K108">
        <f>91500</f>
        <v>91500</v>
      </c>
      <c r="M108">
        <v>1</v>
      </c>
      <c r="N108">
        <f>344151.91+18000+68000</f>
        <v>430151.91</v>
      </c>
    </row>
    <row r="109" spans="1:14" hidden="1" x14ac:dyDescent="0.35">
      <c r="A109" t="s">
        <v>143</v>
      </c>
      <c r="B109">
        <v>15000</v>
      </c>
      <c r="C109">
        <f>6983.05</f>
        <v>6983.05</v>
      </c>
      <c r="E109">
        <v>300</v>
      </c>
      <c r="F109">
        <v>400000</v>
      </c>
      <c r="K109">
        <v>107400</v>
      </c>
      <c r="M109">
        <v>1</v>
      </c>
    </row>
    <row r="110" spans="1:14" hidden="1" x14ac:dyDescent="0.35">
      <c r="A110" t="s">
        <v>144</v>
      </c>
      <c r="B110">
        <v>31494.91</v>
      </c>
      <c r="E110">
        <v>157.44</v>
      </c>
      <c r="F110">
        <v>630000</v>
      </c>
      <c r="G110" t="s">
        <v>145</v>
      </c>
      <c r="H110" t="s">
        <v>146</v>
      </c>
      <c r="K110">
        <v>15000</v>
      </c>
      <c r="M110">
        <v>2</v>
      </c>
      <c r="N110">
        <f>377794.37+47867.41</f>
        <v>425661.78</v>
      </c>
    </row>
    <row r="111" spans="1:14" hidden="1" x14ac:dyDescent="0.35">
      <c r="A111" t="s">
        <v>147</v>
      </c>
      <c r="E111">
        <v>114</v>
      </c>
      <c r="F111">
        <v>300000</v>
      </c>
      <c r="I111">
        <v>2.52</v>
      </c>
      <c r="J111">
        <v>180000</v>
      </c>
      <c r="K111">
        <v>10000</v>
      </c>
      <c r="M111">
        <v>2</v>
      </c>
      <c r="N111">
        <v>17850</v>
      </c>
    </row>
    <row r="112" spans="1:14" hidden="1" x14ac:dyDescent="0.35">
      <c r="A112" t="s">
        <v>148</v>
      </c>
      <c r="B112">
        <v>13000</v>
      </c>
      <c r="E112">
        <v>291</v>
      </c>
      <c r="F112">
        <v>550000</v>
      </c>
      <c r="G112">
        <v>61.39</v>
      </c>
      <c r="H112">
        <v>260000</v>
      </c>
      <c r="K112">
        <v>188000</v>
      </c>
      <c r="M112">
        <v>2</v>
      </c>
      <c r="N112">
        <f>276258.43+42592.09</f>
        <v>318850.52</v>
      </c>
    </row>
    <row r="113" spans="1:14" hidden="1" x14ac:dyDescent="0.35">
      <c r="A113" t="s">
        <v>149</v>
      </c>
      <c r="B113">
        <v>105000</v>
      </c>
      <c r="M113">
        <v>0</v>
      </c>
    </row>
    <row r="114" spans="1:14" hidden="1" x14ac:dyDescent="0.35">
      <c r="A114" t="s">
        <v>150</v>
      </c>
      <c r="B114">
        <v>3430</v>
      </c>
      <c r="C114">
        <v>78.3</v>
      </c>
      <c r="G114">
        <v>42</v>
      </c>
      <c r="H114">
        <v>250000</v>
      </c>
      <c r="M114">
        <v>1</v>
      </c>
    </row>
    <row r="115" spans="1:14" hidden="1" x14ac:dyDescent="0.35">
      <c r="A115" t="s">
        <v>151</v>
      </c>
      <c r="B115">
        <v>4570</v>
      </c>
      <c r="G115">
        <v>70</v>
      </c>
      <c r="H115">
        <v>390000</v>
      </c>
      <c r="M115">
        <v>0</v>
      </c>
      <c r="N115">
        <v>144686.26999999999</v>
      </c>
    </row>
    <row r="116" spans="1:14" hidden="1" x14ac:dyDescent="0.35">
      <c r="A116" t="s">
        <v>152</v>
      </c>
      <c r="G116">
        <v>50</v>
      </c>
      <c r="M116">
        <v>1</v>
      </c>
      <c r="N116">
        <f>55399.27+70657.44+18112.35+30000+16500</f>
        <v>190669.06</v>
      </c>
    </row>
    <row r="117" spans="1:14" hidden="1" x14ac:dyDescent="0.35">
      <c r="A117" t="s">
        <v>153</v>
      </c>
      <c r="B117">
        <v>160000</v>
      </c>
      <c r="G117" t="s">
        <v>154</v>
      </c>
      <c r="H117" t="s">
        <v>155</v>
      </c>
      <c r="M117">
        <v>0</v>
      </c>
    </row>
    <row r="118" spans="1:14" hidden="1" x14ac:dyDescent="0.35">
      <c r="A118" t="s">
        <v>156</v>
      </c>
      <c r="B118">
        <v>40000</v>
      </c>
      <c r="E118" t="s">
        <v>157</v>
      </c>
      <c r="F118" t="s">
        <v>158</v>
      </c>
      <c r="K118">
        <v>320000</v>
      </c>
      <c r="M118">
        <v>2</v>
      </c>
    </row>
    <row r="119" spans="1:14" hidden="1" x14ac:dyDescent="0.35">
      <c r="A119" t="s">
        <v>159</v>
      </c>
      <c r="B119">
        <v>10000</v>
      </c>
      <c r="E119">
        <v>240</v>
      </c>
      <c r="F119">
        <v>260000</v>
      </c>
      <c r="I119">
        <v>27.54</v>
      </c>
      <c r="J119">
        <v>800000</v>
      </c>
      <c r="M119">
        <v>3</v>
      </c>
      <c r="N119">
        <v>378840</v>
      </c>
    </row>
    <row r="120" spans="1:14" hidden="1" x14ac:dyDescent="0.35">
      <c r="A120" t="s">
        <v>160</v>
      </c>
      <c r="B120">
        <v>15000</v>
      </c>
      <c r="E120">
        <v>197.65</v>
      </c>
      <c r="F120">
        <v>480000</v>
      </c>
      <c r="M120">
        <v>1</v>
      </c>
      <c r="N120">
        <v>11057</v>
      </c>
    </row>
    <row r="121" spans="1:14" hidden="1" x14ac:dyDescent="0.35">
      <c r="A121" t="s">
        <v>161</v>
      </c>
      <c r="B121">
        <v>28000</v>
      </c>
      <c r="C121">
        <v>4178.2700000000004</v>
      </c>
      <c r="E121">
        <v>189</v>
      </c>
      <c r="F121">
        <v>380000</v>
      </c>
      <c r="G121">
        <v>57</v>
      </c>
      <c r="H121">
        <v>290000</v>
      </c>
      <c r="I121">
        <v>6.96</v>
      </c>
      <c r="J121">
        <v>130000</v>
      </c>
      <c r="K121">
        <v>2225000</v>
      </c>
      <c r="M121">
        <v>1</v>
      </c>
      <c r="N121">
        <f xml:space="preserve"> 144150.42 + 462198.04</f>
        <v>606348.46</v>
      </c>
    </row>
    <row r="122" spans="1:14" hidden="1" x14ac:dyDescent="0.35">
      <c r="A122" t="s">
        <v>162</v>
      </c>
      <c r="B122">
        <v>150000</v>
      </c>
      <c r="C122">
        <f>11600.93 + 26385.22 + 546.84 + 453</f>
        <v>38985.99</v>
      </c>
      <c r="E122">
        <v>121.4</v>
      </c>
      <c r="F122">
        <v>660000</v>
      </c>
      <c r="G122">
        <v>239.85</v>
      </c>
      <c r="H122">
        <v>70000</v>
      </c>
      <c r="K122">
        <f>76000+250000</f>
        <v>326000</v>
      </c>
      <c r="M122">
        <v>3</v>
      </c>
      <c r="N122">
        <v>490000</v>
      </c>
    </row>
    <row r="123" spans="1:14" hidden="1" x14ac:dyDescent="0.35">
      <c r="A123" t="s">
        <v>163</v>
      </c>
      <c r="B123">
        <v>45982</v>
      </c>
      <c r="C123">
        <v>123.07</v>
      </c>
      <c r="D123">
        <f>108209+55097</f>
        <v>163306</v>
      </c>
      <c r="E123">
        <v>210</v>
      </c>
      <c r="F123">
        <v>600000</v>
      </c>
      <c r="M123">
        <v>1</v>
      </c>
      <c r="N123">
        <f xml:space="preserve"> 642834.49 + 20000</f>
        <v>662834.49</v>
      </c>
    </row>
    <row r="124" spans="1:14" hidden="1" x14ac:dyDescent="0.35">
      <c r="A124" t="s">
        <v>164</v>
      </c>
      <c r="B124">
        <v>129396</v>
      </c>
      <c r="C124">
        <v>617236.37</v>
      </c>
      <c r="E124">
        <v>145</v>
      </c>
      <c r="F124">
        <v>300000</v>
      </c>
      <c r="G124" t="s">
        <v>165</v>
      </c>
      <c r="H124" t="s">
        <v>166</v>
      </c>
      <c r="I124">
        <v>1.22</v>
      </c>
      <c r="J124">
        <v>80000</v>
      </c>
      <c r="M124">
        <v>1</v>
      </c>
    </row>
    <row r="125" spans="1:14" hidden="1" x14ac:dyDescent="0.35">
      <c r="A125" t="s">
        <v>167</v>
      </c>
      <c r="B125">
        <v>11439</v>
      </c>
      <c r="E125">
        <v>96</v>
      </c>
      <c r="F125">
        <v>400000</v>
      </c>
      <c r="G125">
        <v>128</v>
      </c>
      <c r="H125">
        <v>800000</v>
      </c>
      <c r="K125">
        <v>260000</v>
      </c>
      <c r="M125">
        <v>2</v>
      </c>
      <c r="N125">
        <v>130000</v>
      </c>
    </row>
    <row r="126" spans="1:14" hidden="1" x14ac:dyDescent="0.35">
      <c r="A126" t="s">
        <v>168</v>
      </c>
      <c r="B126">
        <v>11156.2</v>
      </c>
      <c r="C126">
        <v>1312602.44</v>
      </c>
      <c r="D126">
        <v>70121</v>
      </c>
      <c r="E126">
        <v>240</v>
      </c>
      <c r="F126">
        <v>500000</v>
      </c>
      <c r="I126">
        <v>9.8000000000000007</v>
      </c>
      <c r="K126">
        <v>135504</v>
      </c>
      <c r="M126">
        <v>2</v>
      </c>
    </row>
    <row r="127" spans="1:14" hidden="1" x14ac:dyDescent="0.35">
      <c r="A127" t="s">
        <v>169</v>
      </c>
      <c r="B127">
        <v>4900000</v>
      </c>
      <c r="C127">
        <f>37127 + 8812.98</f>
        <v>45939.979999999996</v>
      </c>
      <c r="E127">
        <v>340</v>
      </c>
      <c r="F127">
        <v>1500000</v>
      </c>
      <c r="K127">
        <v>35420000</v>
      </c>
      <c r="M127">
        <v>4</v>
      </c>
    </row>
    <row r="128" spans="1:14" hidden="1" x14ac:dyDescent="0.35">
      <c r="A128" t="s">
        <v>170</v>
      </c>
      <c r="B128">
        <v>41341.040000000001</v>
      </c>
      <c r="E128">
        <v>220</v>
      </c>
      <c r="F128">
        <v>150000</v>
      </c>
      <c r="I128">
        <v>19.98</v>
      </c>
      <c r="J128">
        <v>146000</v>
      </c>
      <c r="K128">
        <v>95000</v>
      </c>
      <c r="M128">
        <v>1</v>
      </c>
      <c r="N128">
        <v>17850</v>
      </c>
    </row>
    <row r="129" spans="1:14" hidden="1" x14ac:dyDescent="0.35">
      <c r="A129" t="s">
        <v>171</v>
      </c>
      <c r="B129">
        <v>13500</v>
      </c>
      <c r="E129">
        <v>124</v>
      </c>
      <c r="F129">
        <v>320000</v>
      </c>
      <c r="G129">
        <v>55</v>
      </c>
      <c r="H129">
        <v>140000</v>
      </c>
      <c r="K129">
        <f>60000+80000+10000+131000+800000+10000+70000+300000</f>
        <v>1461000</v>
      </c>
      <c r="M129">
        <v>1</v>
      </c>
      <c r="N129">
        <v>245000</v>
      </c>
    </row>
    <row r="130" spans="1:14" hidden="1" x14ac:dyDescent="0.35">
      <c r="A130" t="s">
        <v>172</v>
      </c>
      <c r="B130">
        <v>150758</v>
      </c>
      <c r="C130">
        <v>27893.07</v>
      </c>
      <c r="E130">
        <v>150</v>
      </c>
      <c r="F130">
        <v>400000</v>
      </c>
      <c r="G130">
        <v>47</v>
      </c>
      <c r="H130">
        <v>120000</v>
      </c>
      <c r="K130">
        <f>5000+50000</f>
        <v>55000</v>
      </c>
      <c r="M130">
        <v>1</v>
      </c>
      <c r="N130">
        <f>92850+109000</f>
        <v>201850</v>
      </c>
    </row>
    <row r="131" spans="1:14" hidden="1" x14ac:dyDescent="0.35">
      <c r="A131" t="s">
        <v>173</v>
      </c>
      <c r="B131">
        <v>24171.45</v>
      </c>
      <c r="E131">
        <v>116</v>
      </c>
      <c r="F131">
        <v>200000</v>
      </c>
      <c r="K131">
        <v>105000</v>
      </c>
      <c r="M131">
        <v>1</v>
      </c>
      <c r="N131">
        <f>50000+24150</f>
        <v>74150</v>
      </c>
    </row>
    <row r="132" spans="1:14" hidden="1" x14ac:dyDescent="0.35">
      <c r="A132" t="s">
        <v>174</v>
      </c>
      <c r="B132">
        <v>566453.06000000006</v>
      </c>
      <c r="D132">
        <v>8668.2900000000009</v>
      </c>
      <c r="G132">
        <v>69</v>
      </c>
      <c r="H132">
        <v>320000</v>
      </c>
      <c r="M132">
        <v>1</v>
      </c>
      <c r="N132">
        <f>54406.96+23800</f>
        <v>78206.959999999992</v>
      </c>
    </row>
    <row r="133" spans="1:14" hidden="1" x14ac:dyDescent="0.35">
      <c r="A133" t="s">
        <v>175</v>
      </c>
      <c r="B133">
        <v>280000</v>
      </c>
      <c r="C133">
        <f>13176.45</f>
        <v>13176.45</v>
      </c>
      <c r="E133" t="s">
        <v>176</v>
      </c>
      <c r="F133" t="s">
        <v>177</v>
      </c>
      <c r="I133">
        <v>6.556</v>
      </c>
      <c r="J133">
        <v>120000</v>
      </c>
      <c r="K133">
        <f>200000+500000</f>
        <v>700000</v>
      </c>
      <c r="M133">
        <v>2</v>
      </c>
      <c r="N133">
        <f>16497+15000+97878.44</f>
        <v>129375.44</v>
      </c>
    </row>
    <row r="134" spans="1:14" hidden="1" x14ac:dyDescent="0.35">
      <c r="A134" t="s">
        <v>178</v>
      </c>
      <c r="B134">
        <v>4888.34</v>
      </c>
      <c r="G134">
        <v>51.57</v>
      </c>
      <c r="H134">
        <v>380000</v>
      </c>
      <c r="M134">
        <v>1</v>
      </c>
      <c r="N134">
        <f>45389.61+28275</f>
        <v>73664.61</v>
      </c>
    </row>
    <row r="135" spans="1:14" hidden="1" x14ac:dyDescent="0.35">
      <c r="A135" t="s">
        <v>179</v>
      </c>
      <c r="B135">
        <v>474000</v>
      </c>
      <c r="E135">
        <v>140</v>
      </c>
      <c r="F135">
        <v>420000</v>
      </c>
      <c r="K135">
        <v>100000</v>
      </c>
      <c r="M135">
        <v>2</v>
      </c>
      <c r="N135">
        <v>13200</v>
      </c>
    </row>
    <row r="136" spans="1:14" hidden="1" x14ac:dyDescent="0.35">
      <c r="A136" t="s">
        <v>180</v>
      </c>
      <c r="B136">
        <v>205376.84</v>
      </c>
      <c r="C136">
        <f>70103.94+1112891.7</f>
        <v>1182995.6399999999</v>
      </c>
      <c r="G136" t="s">
        <v>181</v>
      </c>
      <c r="H136" t="s">
        <v>182</v>
      </c>
      <c r="K136">
        <f>53200</f>
        <v>53200</v>
      </c>
      <c r="M136">
        <v>1</v>
      </c>
      <c r="N136">
        <f>595119.81</f>
        <v>595119.81000000006</v>
      </c>
    </row>
    <row r="137" spans="1:14" hidden="1" x14ac:dyDescent="0.35">
      <c r="A137" t="s">
        <v>183</v>
      </c>
      <c r="B137">
        <v>10000</v>
      </c>
      <c r="C137">
        <f>439.24</f>
        <v>439.24</v>
      </c>
      <c r="G137">
        <v>32.799999999999997</v>
      </c>
      <c r="H137">
        <v>150000</v>
      </c>
      <c r="M137">
        <v>2</v>
      </c>
      <c r="N137">
        <f>32000+25500+106514.03+117086</f>
        <v>281100.03000000003</v>
      </c>
    </row>
    <row r="138" spans="1:14" hidden="1" x14ac:dyDescent="0.35">
      <c r="A138" t="s">
        <v>184</v>
      </c>
      <c r="B138">
        <v>48500</v>
      </c>
      <c r="K138">
        <v>200000</v>
      </c>
      <c r="M138">
        <v>1</v>
      </c>
      <c r="N138">
        <f>127590.53+133824.39+62959.68</f>
        <v>324374.60000000003</v>
      </c>
    </row>
    <row r="139" spans="1:14" hidden="1" x14ac:dyDescent="0.35">
      <c r="A139" t="s">
        <v>185</v>
      </c>
      <c r="B139">
        <v>81400</v>
      </c>
      <c r="D139">
        <f>21800</f>
        <v>21800</v>
      </c>
      <c r="G139">
        <v>67</v>
      </c>
      <c r="H139">
        <v>400000</v>
      </c>
      <c r="M139">
        <v>1</v>
      </c>
      <c r="N139">
        <f>29816.46</f>
        <v>29816.46</v>
      </c>
    </row>
    <row r="140" spans="1:14" hidden="1" x14ac:dyDescent="0.35">
      <c r="A140" t="s">
        <v>186</v>
      </c>
      <c r="B140">
        <f>37912.06+300</f>
        <v>38212.06</v>
      </c>
      <c r="D140">
        <v>28047.71</v>
      </c>
      <c r="G140">
        <v>84.55</v>
      </c>
      <c r="H140">
        <v>610000</v>
      </c>
      <c r="M140">
        <v>2</v>
      </c>
      <c r="N140">
        <f>20000+358003.8 +30000+30000</f>
        <v>438003.8</v>
      </c>
    </row>
    <row r="141" spans="1:14" hidden="1" x14ac:dyDescent="0.35">
      <c r="A141" t="s">
        <v>187</v>
      </c>
      <c r="B141">
        <v>40000</v>
      </c>
      <c r="E141">
        <v>180</v>
      </c>
      <c r="F141">
        <v>500000</v>
      </c>
      <c r="M141">
        <v>1</v>
      </c>
      <c r="N141">
        <f>61311.05+105690+17850</f>
        <v>184851.05</v>
      </c>
    </row>
    <row r="142" spans="1:14" hidden="1" x14ac:dyDescent="0.35">
      <c r="A142" t="s">
        <v>188</v>
      </c>
      <c r="B142">
        <v>17378</v>
      </c>
      <c r="G142">
        <v>67</v>
      </c>
      <c r="H142">
        <v>200000</v>
      </c>
      <c r="M142">
        <v>1</v>
      </c>
      <c r="N142">
        <f>416065.88+47900+30000</f>
        <v>493965.88</v>
      </c>
    </row>
    <row r="143" spans="1:14" hidden="1" x14ac:dyDescent="0.35">
      <c r="A143" t="s">
        <v>189</v>
      </c>
      <c r="B143">
        <v>137000</v>
      </c>
      <c r="C143">
        <f>557.93+986.41+1317.54</f>
        <v>2861.88</v>
      </c>
      <c r="E143">
        <v>101</v>
      </c>
      <c r="F143">
        <v>500000</v>
      </c>
      <c r="G143" t="s">
        <v>190</v>
      </c>
      <c r="H143" t="s">
        <v>191</v>
      </c>
      <c r="M143">
        <v>1</v>
      </c>
      <c r="N143">
        <f>110000+35000</f>
        <v>145000</v>
      </c>
    </row>
    <row r="144" spans="1:14" hidden="1" x14ac:dyDescent="0.35">
      <c r="A144" t="s">
        <v>192</v>
      </c>
      <c r="B144">
        <f>155907.8+13298+67727.66</f>
        <v>236933.46</v>
      </c>
      <c r="E144">
        <v>234</v>
      </c>
      <c r="F144">
        <v>350000</v>
      </c>
      <c r="G144">
        <v>35.270000000000003</v>
      </c>
      <c r="H144">
        <v>75000</v>
      </c>
      <c r="I144">
        <v>13.7</v>
      </c>
      <c r="J144">
        <v>350000</v>
      </c>
      <c r="K144">
        <f>10000+240000+20000+10000+350000</f>
        <v>630000</v>
      </c>
      <c r="M144">
        <v>3</v>
      </c>
      <c r="N144">
        <f>20000+2732.28</f>
        <v>22732.28</v>
      </c>
    </row>
    <row r="145" spans="1:14" hidden="1" x14ac:dyDescent="0.35">
      <c r="A145" t="s">
        <v>193</v>
      </c>
      <c r="B145">
        <v>20000</v>
      </c>
      <c r="D145">
        <v>59831.7</v>
      </c>
      <c r="E145" t="s">
        <v>194</v>
      </c>
      <c r="F145" t="s">
        <v>195</v>
      </c>
      <c r="M145">
        <v>2</v>
      </c>
      <c r="N145">
        <f>288688.94+91035.84+64559.25</f>
        <v>444284.03</v>
      </c>
    </row>
    <row r="146" spans="1:14" hidden="1" x14ac:dyDescent="0.35">
      <c r="A146" t="s">
        <v>196</v>
      </c>
      <c r="B146">
        <f>37900+999+10972+6000+10514.38+2200</f>
        <v>68585.38</v>
      </c>
      <c r="E146">
        <v>232</v>
      </c>
      <c r="F146">
        <v>600000</v>
      </c>
      <c r="G146">
        <v>30.1</v>
      </c>
      <c r="H146">
        <v>270000</v>
      </c>
      <c r="K146">
        <f>240000+70000+180000+5000+135000</f>
        <v>630000</v>
      </c>
      <c r="M146">
        <v>3</v>
      </c>
      <c r="N146">
        <f>44004.67+31216.85+35700</f>
        <v>110921.51999999999</v>
      </c>
    </row>
    <row r="147" spans="1:14" hidden="1" x14ac:dyDescent="0.35">
      <c r="A147" t="s">
        <v>197</v>
      </c>
      <c r="B147">
        <f>29000+16598.29+2761.44</f>
        <v>48359.73</v>
      </c>
      <c r="C147">
        <f>5026.5+12732.91+7900.17</f>
        <v>25659.58</v>
      </c>
      <c r="D147">
        <f>21020.4</f>
        <v>21020.400000000001</v>
      </c>
      <c r="E147">
        <v>123.66</v>
      </c>
      <c r="F147">
        <v>650000</v>
      </c>
      <c r="G147">
        <v>41.63</v>
      </c>
      <c r="H147">
        <v>310000</v>
      </c>
      <c r="K147">
        <v>200000</v>
      </c>
      <c r="M147">
        <v>0</v>
      </c>
      <c r="N147">
        <f>344239.55 +240704.6</f>
        <v>584944.15</v>
      </c>
    </row>
    <row r="148" spans="1:14" hidden="1" x14ac:dyDescent="0.35">
      <c r="A148" t="s">
        <v>198</v>
      </c>
      <c r="B148">
        <f>144698.03</f>
        <v>144698.03</v>
      </c>
      <c r="C148">
        <f>1419.94+2637.82</f>
        <v>4057.76</v>
      </c>
      <c r="D148">
        <f>10460.62</f>
        <v>10460.620000000001</v>
      </c>
      <c r="G148" t="s">
        <v>199</v>
      </c>
      <c r="H148" t="s">
        <v>200</v>
      </c>
      <c r="K148">
        <f>52500+24000</f>
        <v>76500</v>
      </c>
      <c r="M148">
        <v>1</v>
      </c>
      <c r="N148">
        <f>411612</f>
        <v>411612</v>
      </c>
    </row>
    <row r="149" spans="1:14" hidden="1" x14ac:dyDescent="0.35">
      <c r="A149" t="s">
        <v>201</v>
      </c>
      <c r="B149">
        <v>50000</v>
      </c>
      <c r="E149">
        <v>147</v>
      </c>
      <c r="F149">
        <v>750000</v>
      </c>
      <c r="K149">
        <v>280000</v>
      </c>
      <c r="M149">
        <v>1</v>
      </c>
      <c r="N149">
        <f>159524.68+25500</f>
        <v>185024.68</v>
      </c>
    </row>
    <row r="150" spans="1:14" hidden="1" x14ac:dyDescent="0.35">
      <c r="A150" t="s">
        <v>202</v>
      </c>
      <c r="B150">
        <f>130341.24</f>
        <v>130341.24</v>
      </c>
      <c r="I150">
        <v>16.63</v>
      </c>
      <c r="J150">
        <v>190000</v>
      </c>
      <c r="M150">
        <v>1</v>
      </c>
    </row>
    <row r="151" spans="1:14" hidden="1" x14ac:dyDescent="0.35">
      <c r="A151" t="s">
        <v>203</v>
      </c>
      <c r="B151">
        <v>30750</v>
      </c>
      <c r="C151">
        <f>4.65+219.55</f>
        <v>224.20000000000002</v>
      </c>
      <c r="G151">
        <v>48.03</v>
      </c>
      <c r="H151">
        <v>140000</v>
      </c>
      <c r="M151">
        <v>1</v>
      </c>
    </row>
    <row r="152" spans="1:14" hidden="1" x14ac:dyDescent="0.35">
      <c r="A152" t="s">
        <v>204</v>
      </c>
      <c r="B152">
        <v>142000</v>
      </c>
      <c r="E152">
        <v>150</v>
      </c>
      <c r="F152">
        <v>1500000</v>
      </c>
      <c r="M152">
        <v>0</v>
      </c>
      <c r="N152">
        <v>57000</v>
      </c>
    </row>
    <row r="153" spans="1:14" hidden="1" x14ac:dyDescent="0.35">
      <c r="A153" t="s">
        <v>205</v>
      </c>
      <c r="B153">
        <v>340000</v>
      </c>
      <c r="E153">
        <v>180</v>
      </c>
      <c r="F153">
        <v>300000</v>
      </c>
      <c r="I153">
        <f>5.08+1.18</f>
        <v>6.26</v>
      </c>
      <c r="J153">
        <f>70000</f>
        <v>70000</v>
      </c>
      <c r="M153">
        <v>2</v>
      </c>
    </row>
    <row r="154" spans="1:14" hidden="1" x14ac:dyDescent="0.35">
      <c r="A154" t="s">
        <v>206</v>
      </c>
      <c r="B154">
        <v>250000</v>
      </c>
      <c r="G154">
        <v>61</v>
      </c>
      <c r="H154">
        <v>610000</v>
      </c>
      <c r="M154">
        <v>0</v>
      </c>
      <c r="N154">
        <f>245000+1484</f>
        <v>246484</v>
      </c>
    </row>
    <row r="155" spans="1:14" hidden="1" x14ac:dyDescent="0.35">
      <c r="A155" t="s">
        <v>207</v>
      </c>
      <c r="B155">
        <v>4000</v>
      </c>
      <c r="G155">
        <v>48.15</v>
      </c>
      <c r="H155">
        <v>180000</v>
      </c>
      <c r="K155">
        <f>290000*2</f>
        <v>580000</v>
      </c>
      <c r="L155">
        <v>3750</v>
      </c>
      <c r="M155">
        <v>1</v>
      </c>
      <c r="N155">
        <f>31000+263083.14+138285.17+48700</f>
        <v>481068.31000000006</v>
      </c>
    </row>
    <row r="156" spans="1:14" hidden="1" x14ac:dyDescent="0.35">
      <c r="A156" t="s">
        <v>208</v>
      </c>
      <c r="B156">
        <f>20000+45000</f>
        <v>65000</v>
      </c>
      <c r="G156">
        <v>59.8</v>
      </c>
      <c r="H156">
        <v>290000</v>
      </c>
      <c r="K156">
        <v>130000</v>
      </c>
      <c r="L156">
        <v>600</v>
      </c>
      <c r="M156">
        <v>1</v>
      </c>
      <c r="N156">
        <f>11900+168361.14+99382.86</f>
        <v>279644</v>
      </c>
    </row>
    <row r="157" spans="1:14" hidden="1" x14ac:dyDescent="0.35">
      <c r="A157" t="s">
        <v>209</v>
      </c>
      <c r="B157">
        <v>15000</v>
      </c>
      <c r="G157">
        <v>39</v>
      </c>
      <c r="H157">
        <v>350000</v>
      </c>
      <c r="M157">
        <v>0</v>
      </c>
      <c r="N157">
        <v>98392.2</v>
      </c>
    </row>
    <row r="158" spans="1:14" hidden="1" x14ac:dyDescent="0.35">
      <c r="A158" t="s">
        <v>210</v>
      </c>
      <c r="B158">
        <f>50000+23792.82</f>
        <v>73792.820000000007</v>
      </c>
      <c r="C158">
        <f>2092.87+30730.35+1808.25</f>
        <v>34631.47</v>
      </c>
      <c r="D158">
        <f>21256.14</f>
        <v>21256.14</v>
      </c>
      <c r="M158">
        <v>0</v>
      </c>
    </row>
    <row r="159" spans="1:14" hidden="1" x14ac:dyDescent="0.35">
      <c r="A159" t="s">
        <v>211</v>
      </c>
      <c r="B159">
        <v>85000</v>
      </c>
      <c r="E159">
        <v>140</v>
      </c>
      <c r="F159">
        <v>350000</v>
      </c>
      <c r="G159">
        <v>55.8</v>
      </c>
      <c r="H159">
        <v>260000</v>
      </c>
      <c r="K159">
        <f>30000+10000+38000</f>
        <v>78000</v>
      </c>
      <c r="M159">
        <v>1</v>
      </c>
      <c r="N159">
        <f>7944.19+40000</f>
        <v>47944.19</v>
      </c>
    </row>
    <row r="160" spans="1:14" hidden="1" x14ac:dyDescent="0.35">
      <c r="A160" t="s">
        <v>212</v>
      </c>
      <c r="B160">
        <v>95500</v>
      </c>
      <c r="D160">
        <v>20000</v>
      </c>
      <c r="E160">
        <v>200</v>
      </c>
      <c r="F160">
        <v>430000</v>
      </c>
      <c r="H160">
        <v>140850</v>
      </c>
      <c r="I160">
        <v>4</v>
      </c>
      <c r="J160">
        <v>50000</v>
      </c>
      <c r="M160">
        <v>3</v>
      </c>
      <c r="N160">
        <f>57000</f>
        <v>57000</v>
      </c>
    </row>
    <row r="161" spans="1:14" hidden="1" x14ac:dyDescent="0.35">
      <c r="A161" t="s">
        <v>213</v>
      </c>
      <c r="B161">
        <v>260900</v>
      </c>
      <c r="C161">
        <f>6071.85</f>
        <v>6071.85</v>
      </c>
      <c r="E161">
        <v>142.80000000000001</v>
      </c>
      <c r="F161">
        <v>640000</v>
      </c>
      <c r="K161">
        <f>700000</f>
        <v>700000</v>
      </c>
      <c r="M161">
        <v>2</v>
      </c>
      <c r="N161">
        <v>60000</v>
      </c>
    </row>
    <row r="162" spans="1:14" hidden="1" x14ac:dyDescent="0.35">
      <c r="A162" t="s">
        <v>214</v>
      </c>
      <c r="B162">
        <v>137000</v>
      </c>
      <c r="G162" t="s">
        <v>215</v>
      </c>
      <c r="H162" t="s">
        <v>216</v>
      </c>
      <c r="M162">
        <v>1</v>
      </c>
      <c r="N162">
        <f>487000+67841.71</f>
        <v>554841.71</v>
      </c>
    </row>
    <row r="163" spans="1:14" hidden="1" x14ac:dyDescent="0.35">
      <c r="A163" t="s">
        <v>217</v>
      </c>
      <c r="B163">
        <v>196000</v>
      </c>
      <c r="C163">
        <f>465.12</f>
        <v>465.12</v>
      </c>
      <c r="E163">
        <v>180.6</v>
      </c>
      <c r="F163">
        <v>300000</v>
      </c>
      <c r="G163" t="s">
        <v>218</v>
      </c>
      <c r="H163" t="s">
        <v>219</v>
      </c>
      <c r="I163">
        <v>4.63</v>
      </c>
      <c r="J163">
        <v>50000</v>
      </c>
      <c r="K163">
        <f>24400+25000</f>
        <v>49400</v>
      </c>
      <c r="M163">
        <v>0</v>
      </c>
      <c r="N163">
        <f>247190.17+108856.83</f>
        <v>356047</v>
      </c>
    </row>
    <row r="164" spans="1:14" hidden="1" x14ac:dyDescent="0.35">
      <c r="A164" t="s">
        <v>220</v>
      </c>
      <c r="B164">
        <v>200000</v>
      </c>
      <c r="E164" t="s">
        <v>221</v>
      </c>
      <c r="F164" t="s">
        <v>222</v>
      </c>
      <c r="K164">
        <v>7500</v>
      </c>
      <c r="M164">
        <v>2</v>
      </c>
    </row>
    <row r="165" spans="1:14" hidden="1" x14ac:dyDescent="0.35">
      <c r="A165" t="s">
        <v>223</v>
      </c>
      <c r="B165">
        <v>16000</v>
      </c>
      <c r="E165">
        <v>215</v>
      </c>
      <c r="F165">
        <v>300000</v>
      </c>
      <c r="I165">
        <v>12.39</v>
      </c>
      <c r="J165">
        <v>400000</v>
      </c>
      <c r="K165">
        <f>150000*2 + 1400000+400000</f>
        <v>2100000</v>
      </c>
      <c r="M165">
        <v>2</v>
      </c>
      <c r="N165">
        <f>68441.15+65960.75+46933.63</f>
        <v>181335.53</v>
      </c>
    </row>
    <row r="166" spans="1:14" hidden="1" x14ac:dyDescent="0.35">
      <c r="A166" t="s">
        <v>224</v>
      </c>
      <c r="B166">
        <v>118000</v>
      </c>
      <c r="C166">
        <f>5279.06+118.62</f>
        <v>5397.68</v>
      </c>
      <c r="G166">
        <v>29.4</v>
      </c>
      <c r="H166">
        <v>90000</v>
      </c>
      <c r="M166">
        <v>3</v>
      </c>
    </row>
    <row r="167" spans="1:14" hidden="1" x14ac:dyDescent="0.35">
      <c r="A167" t="s">
        <v>225</v>
      </c>
      <c r="B167">
        <v>1250</v>
      </c>
      <c r="G167">
        <v>35</v>
      </c>
      <c r="H167">
        <v>475000</v>
      </c>
      <c r="M167">
        <v>0</v>
      </c>
      <c r="N167">
        <f>233807+49481+9700+14048.63+17850</f>
        <v>324886.63</v>
      </c>
    </row>
    <row r="168" spans="1:14" hidden="1" x14ac:dyDescent="0.35">
      <c r="A168" t="s">
        <v>226</v>
      </c>
      <c r="B168">
        <v>145000</v>
      </c>
      <c r="E168">
        <v>185</v>
      </c>
      <c r="F168">
        <v>630000</v>
      </c>
      <c r="K168">
        <v>70000</v>
      </c>
      <c r="M168">
        <v>1</v>
      </c>
    </row>
    <row r="169" spans="1:14" hidden="1" x14ac:dyDescent="0.35">
      <c r="A169" t="s">
        <v>227</v>
      </c>
      <c r="B169">
        <v>13000</v>
      </c>
      <c r="C169">
        <f>1394.8</f>
        <v>1394.8</v>
      </c>
      <c r="D169">
        <v>200</v>
      </c>
      <c r="E169" t="s">
        <v>228</v>
      </c>
      <c r="F169" t="s">
        <v>229</v>
      </c>
      <c r="G169">
        <v>75</v>
      </c>
      <c r="H169">
        <v>425000</v>
      </c>
      <c r="K169">
        <f>30000</f>
        <v>30000</v>
      </c>
      <c r="M169">
        <v>1</v>
      </c>
      <c r="N169">
        <f>213869.78+231500+22950</f>
        <v>468319.78</v>
      </c>
    </row>
    <row r="170" spans="1:14" hidden="1" x14ac:dyDescent="0.35">
      <c r="A170" t="s">
        <v>230</v>
      </c>
      <c r="B170">
        <v>62000</v>
      </c>
      <c r="C170">
        <f>14877.9</f>
        <v>14877.9</v>
      </c>
      <c r="D170">
        <f>64.32+904</f>
        <v>968.31999999999994</v>
      </c>
      <c r="M170">
        <v>4</v>
      </c>
      <c r="N170">
        <f>21004.54+60806.12+30000</f>
        <v>111810.66</v>
      </c>
    </row>
    <row r="171" spans="1:14" hidden="1" x14ac:dyDescent="0.35">
      <c r="A171" t="s">
        <v>231</v>
      </c>
      <c r="B171">
        <f>9000+27000</f>
        <v>36000</v>
      </c>
      <c r="C171">
        <f>79038.83</f>
        <v>79038.83</v>
      </c>
      <c r="E171">
        <v>188</v>
      </c>
      <c r="F171">
        <v>1000000</v>
      </c>
      <c r="K171">
        <f>350000+4500000+1000000+230000+100000</f>
        <v>6180000</v>
      </c>
      <c r="L171">
        <v>2000</v>
      </c>
      <c r="M171">
        <v>0</v>
      </c>
      <c r="N171">
        <f>79398.36+37790.62</f>
        <v>117188.98000000001</v>
      </c>
    </row>
    <row r="172" spans="1:14" hidden="1" x14ac:dyDescent="0.35">
      <c r="A172" t="s">
        <v>232</v>
      </c>
      <c r="B172">
        <f>8500</f>
        <v>8500</v>
      </c>
      <c r="G172">
        <v>86.24</v>
      </c>
      <c r="H172">
        <v>600000</v>
      </c>
      <c r="K172">
        <f>26000+20000+200000+50000</f>
        <v>296000</v>
      </c>
      <c r="M172">
        <v>1</v>
      </c>
      <c r="N172">
        <f>50000</f>
        <v>50000</v>
      </c>
    </row>
    <row r="173" spans="1:14" hidden="1" x14ac:dyDescent="0.35">
      <c r="A173" t="s">
        <v>233</v>
      </c>
      <c r="B173">
        <f>135000</f>
        <v>135000</v>
      </c>
      <c r="D173">
        <v>8129.6</v>
      </c>
      <c r="E173">
        <v>480</v>
      </c>
      <c r="F173">
        <v>1700000</v>
      </c>
      <c r="K173">
        <f>295</f>
        <v>295</v>
      </c>
      <c r="M173">
        <v>2</v>
      </c>
      <c r="N173">
        <f>9699940.22</f>
        <v>9699940.2200000007</v>
      </c>
    </row>
    <row r="174" spans="1:14" hidden="1" x14ac:dyDescent="0.35">
      <c r="A174" t="s">
        <v>234</v>
      </c>
      <c r="B174">
        <v>3480.06</v>
      </c>
      <c r="E174">
        <v>180</v>
      </c>
      <c r="F174">
        <v>550000</v>
      </c>
      <c r="K174">
        <v>130000</v>
      </c>
      <c r="M174">
        <v>3</v>
      </c>
      <c r="N174">
        <f>335649.56</f>
        <v>335649.56</v>
      </c>
    </row>
    <row r="175" spans="1:14" hidden="1" x14ac:dyDescent="0.35">
      <c r="A175" t="s">
        <v>235</v>
      </c>
      <c r="B175">
        <v>145000</v>
      </c>
      <c r="E175">
        <v>169.53</v>
      </c>
      <c r="F175">
        <v>500000</v>
      </c>
      <c r="I175">
        <v>1.02</v>
      </c>
      <c r="J175">
        <v>15000</v>
      </c>
      <c r="K175">
        <f>270000</f>
        <v>270000</v>
      </c>
      <c r="M175">
        <v>2</v>
      </c>
      <c r="N175">
        <f>382543.69</f>
        <v>382543.69</v>
      </c>
    </row>
    <row r="176" spans="1:14" hidden="1" x14ac:dyDescent="0.35">
      <c r="A176" t="s">
        <v>236</v>
      </c>
      <c r="B176">
        <v>25000</v>
      </c>
      <c r="C176">
        <f>23250.79</f>
        <v>23250.79</v>
      </c>
      <c r="M176">
        <v>0</v>
      </c>
    </row>
    <row r="177" spans="1:14" hidden="1" x14ac:dyDescent="0.35">
      <c r="A177" t="s">
        <v>237</v>
      </c>
      <c r="B177">
        <v>95000</v>
      </c>
      <c r="C177">
        <f>16275.55+52715.4</f>
        <v>68990.95</v>
      </c>
      <c r="D177">
        <f>100000+66000+123979.93+89999.88</f>
        <v>379979.81</v>
      </c>
      <c r="G177">
        <v>175.08</v>
      </c>
      <c r="H177">
        <v>2000000</v>
      </c>
      <c r="I177">
        <v>1.5</v>
      </c>
      <c r="J177">
        <v>1000000</v>
      </c>
      <c r="M177">
        <v>0</v>
      </c>
      <c r="N177">
        <f>863296.88+1323378+88221</f>
        <v>2274895.88</v>
      </c>
    </row>
    <row r="178" spans="1:14" hidden="1" x14ac:dyDescent="0.35">
      <c r="A178" t="s">
        <v>238</v>
      </c>
      <c r="B178">
        <v>198600</v>
      </c>
      <c r="E178">
        <v>120</v>
      </c>
      <c r="F178">
        <v>320000</v>
      </c>
      <c r="K178">
        <f>240000</f>
        <v>240000</v>
      </c>
      <c r="M178">
        <v>2</v>
      </c>
    </row>
    <row r="179" spans="1:14" hidden="1" x14ac:dyDescent="0.35">
      <c r="A179" t="s">
        <v>239</v>
      </c>
      <c r="B179">
        <v>40500</v>
      </c>
      <c r="D179">
        <f>26341.78+34038.37</f>
        <v>60380.15</v>
      </c>
      <c r="G179">
        <v>86.4</v>
      </c>
      <c r="H179">
        <v>860000</v>
      </c>
      <c r="K179">
        <v>22000</v>
      </c>
      <c r="M179">
        <v>1</v>
      </c>
      <c r="N179">
        <f>579534.81+50000</f>
        <v>629534.81000000006</v>
      </c>
    </row>
    <row r="180" spans="1:14" hidden="1" x14ac:dyDescent="0.35">
      <c r="A180" t="s">
        <v>240</v>
      </c>
      <c r="B180">
        <v>75000</v>
      </c>
      <c r="C180">
        <f>9298.76+8786.19</f>
        <v>18084.95</v>
      </c>
      <c r="D180">
        <f>96764.78+57889.49</f>
        <v>154654.26999999999</v>
      </c>
      <c r="E180">
        <v>144</v>
      </c>
      <c r="F180">
        <v>870000</v>
      </c>
      <c r="M180">
        <v>1</v>
      </c>
    </row>
    <row r="181" spans="1:14" hidden="1" x14ac:dyDescent="0.35">
      <c r="A181" t="s">
        <v>241</v>
      </c>
      <c r="B181">
        <v>63000</v>
      </c>
      <c r="C181">
        <f>60445.89</f>
        <v>60445.89</v>
      </c>
      <c r="G181">
        <v>35</v>
      </c>
      <c r="H181">
        <v>120000</v>
      </c>
      <c r="M181">
        <v>2</v>
      </c>
      <c r="N181">
        <v>21000</v>
      </c>
    </row>
    <row r="182" spans="1:14" hidden="1" x14ac:dyDescent="0.35">
      <c r="A182" t="s">
        <v>242</v>
      </c>
      <c r="B182">
        <v>65000</v>
      </c>
      <c r="D182">
        <f>16.58</f>
        <v>16.579999999999998</v>
      </c>
      <c r="G182">
        <v>54</v>
      </c>
      <c r="H182">
        <v>160000</v>
      </c>
      <c r="K182">
        <f>60000</f>
        <v>60000</v>
      </c>
      <c r="M182">
        <v>2</v>
      </c>
      <c r="N182">
        <f>60000+96000+38750+30200</f>
        <v>224950</v>
      </c>
    </row>
    <row r="183" spans="1:14" hidden="1" x14ac:dyDescent="0.35">
      <c r="A183" t="s">
        <v>243</v>
      </c>
      <c r="B183">
        <f>15954+33390.19</f>
        <v>49344.19</v>
      </c>
      <c r="E183">
        <v>156</v>
      </c>
      <c r="F183">
        <v>200000</v>
      </c>
      <c r="G183">
        <v>48</v>
      </c>
      <c r="H183">
        <v>230000</v>
      </c>
      <c r="I183">
        <v>2.6821000000000002</v>
      </c>
      <c r="J183">
        <v>50000</v>
      </c>
      <c r="K183">
        <f>40000</f>
        <v>40000</v>
      </c>
      <c r="M183">
        <v>3</v>
      </c>
      <c r="N183">
        <v>60000</v>
      </c>
    </row>
    <row r="184" spans="1:14" hidden="1" x14ac:dyDescent="0.35">
      <c r="A184" t="s">
        <v>244</v>
      </c>
      <c r="B184">
        <v>225000</v>
      </c>
      <c r="C184">
        <f>3719.75</f>
        <v>3719.75</v>
      </c>
      <c r="D184">
        <v>15580</v>
      </c>
      <c r="M184">
        <v>1</v>
      </c>
    </row>
    <row r="185" spans="1:14" hidden="1" x14ac:dyDescent="0.35">
      <c r="A185" t="s">
        <v>245</v>
      </c>
      <c r="B185">
        <f>10000+90057.93</f>
        <v>100057.93</v>
      </c>
      <c r="E185">
        <v>185</v>
      </c>
      <c r="F185">
        <v>650000</v>
      </c>
      <c r="K185">
        <v>100000</v>
      </c>
      <c r="M185">
        <v>2</v>
      </c>
      <c r="N185">
        <f>361244.77+38681.17+54000+22950</f>
        <v>476875.94</v>
      </c>
    </row>
    <row r="186" spans="1:14" hidden="1" x14ac:dyDescent="0.35">
      <c r="A186" t="s">
        <v>246</v>
      </c>
      <c r="B186">
        <v>471000</v>
      </c>
      <c r="C186">
        <f>4649.68+96643.25</f>
        <v>101292.93</v>
      </c>
      <c r="E186" t="s">
        <v>247</v>
      </c>
      <c r="F186" t="s">
        <v>248</v>
      </c>
      <c r="G186">
        <v>38</v>
      </c>
      <c r="H186">
        <v>280000</v>
      </c>
      <c r="M186">
        <v>0</v>
      </c>
      <c r="N186">
        <f>293226.89</f>
        <v>293226.89</v>
      </c>
    </row>
    <row r="187" spans="1:14" hidden="1" x14ac:dyDescent="0.35">
      <c r="A187" t="s">
        <v>249</v>
      </c>
      <c r="B187">
        <v>38000</v>
      </c>
      <c r="G187">
        <v>78</v>
      </c>
      <c r="H187">
        <v>200000</v>
      </c>
      <c r="K187">
        <f>100000</f>
        <v>100000</v>
      </c>
      <c r="M187">
        <v>0</v>
      </c>
    </row>
    <row r="188" spans="1:14" hidden="1" x14ac:dyDescent="0.35">
      <c r="A188" t="s">
        <v>250</v>
      </c>
      <c r="B188">
        <v>17000</v>
      </c>
      <c r="E188">
        <v>173</v>
      </c>
      <c r="F188">
        <v>600000</v>
      </c>
      <c r="K188">
        <f>70000+7500+200000</f>
        <v>277500</v>
      </c>
      <c r="M188">
        <v>1</v>
      </c>
      <c r="N188">
        <v>22000</v>
      </c>
    </row>
    <row r="189" spans="1:14" hidden="1" x14ac:dyDescent="0.35">
      <c r="A189" t="s">
        <v>251</v>
      </c>
      <c r="B189">
        <f>16469.25+4001.8</f>
        <v>20471.05</v>
      </c>
      <c r="E189">
        <v>201</v>
      </c>
      <c r="F189">
        <v>600000</v>
      </c>
      <c r="I189">
        <v>6.57</v>
      </c>
      <c r="J189">
        <v>120000</v>
      </c>
      <c r="K189">
        <f>60000</f>
        <v>60000</v>
      </c>
      <c r="M189">
        <v>1</v>
      </c>
      <c r="N189">
        <f>91737.97+13889.55+18397.81+21866.08+14000</f>
        <v>159891.41</v>
      </c>
    </row>
    <row r="190" spans="1:14" hidden="1" x14ac:dyDescent="0.35">
      <c r="A190" t="s">
        <v>252</v>
      </c>
      <c r="B190">
        <v>283000</v>
      </c>
      <c r="G190" t="s">
        <v>253</v>
      </c>
      <c r="H190" t="s">
        <v>254</v>
      </c>
      <c r="K190">
        <f>330000+20000</f>
        <v>350000</v>
      </c>
      <c r="M190">
        <v>1</v>
      </c>
      <c r="N190">
        <f>87000+610210.12</f>
        <v>697210.12</v>
      </c>
    </row>
    <row r="191" spans="1:14" hidden="1" x14ac:dyDescent="0.35">
      <c r="A191" t="s">
        <v>255</v>
      </c>
      <c r="B191">
        <f>15000+43500</f>
        <v>58500</v>
      </c>
      <c r="G191">
        <v>67.680000000000007</v>
      </c>
      <c r="H191">
        <v>350000</v>
      </c>
      <c r="M191">
        <v>1</v>
      </c>
      <c r="N191">
        <f>245200+212228.28</f>
        <v>457428.28</v>
      </c>
    </row>
    <row r="192" spans="1:14" hidden="1" x14ac:dyDescent="0.35">
      <c r="A192" t="s">
        <v>256</v>
      </c>
      <c r="B192">
        <v>30000</v>
      </c>
      <c r="C192">
        <f>13944.63+2634.5</f>
        <v>16579.129999999997</v>
      </c>
      <c r="D192">
        <v>14458.4</v>
      </c>
      <c r="G192">
        <v>45.81</v>
      </c>
      <c r="H192">
        <v>340000</v>
      </c>
      <c r="M192">
        <v>2</v>
      </c>
      <c r="N192">
        <f>195804.91+76386.45+17850+20000+29268.29+85970.73</f>
        <v>425280.37999999995</v>
      </c>
    </row>
    <row r="193" spans="1:14" hidden="1" x14ac:dyDescent="0.35">
      <c r="A193" t="s">
        <v>257</v>
      </c>
      <c r="B193">
        <v>297000</v>
      </c>
      <c r="M193">
        <v>0</v>
      </c>
    </row>
    <row r="194" spans="1:14" hidden="1" x14ac:dyDescent="0.35">
      <c r="A194" t="s">
        <v>258</v>
      </c>
      <c r="B194">
        <v>7893</v>
      </c>
      <c r="G194" t="s">
        <v>259</v>
      </c>
      <c r="H194" t="s">
        <v>260</v>
      </c>
      <c r="K194">
        <f>607000</f>
        <v>607000</v>
      </c>
      <c r="M194">
        <v>3</v>
      </c>
      <c r="N194">
        <v>142000</v>
      </c>
    </row>
    <row r="195" spans="1:14" hidden="1" x14ac:dyDescent="0.35">
      <c r="A195" t="s">
        <v>261</v>
      </c>
      <c r="B195">
        <v>250000</v>
      </c>
      <c r="C195">
        <f>5708.09+2324.3</f>
        <v>8032.39</v>
      </c>
      <c r="E195" t="s">
        <v>262</v>
      </c>
      <c r="F195" t="s">
        <v>263</v>
      </c>
      <c r="G195">
        <v>33</v>
      </c>
      <c r="H195">
        <v>90000</v>
      </c>
      <c r="I195">
        <f>80000+6000+45000</f>
        <v>131000</v>
      </c>
      <c r="M195">
        <v>1</v>
      </c>
    </row>
    <row r="196" spans="1:14" hidden="1" x14ac:dyDescent="0.35">
      <c r="A196" t="s">
        <v>264</v>
      </c>
      <c r="B196">
        <v>13000</v>
      </c>
      <c r="C196">
        <f>9297.19</f>
        <v>9297.19</v>
      </c>
      <c r="M196">
        <v>1</v>
      </c>
      <c r="N196">
        <f>32182.16</f>
        <v>32182.16</v>
      </c>
    </row>
    <row r="197" spans="1:14" hidden="1" x14ac:dyDescent="0.35">
      <c r="A197" t="s">
        <v>265</v>
      </c>
      <c r="B197">
        <v>16615</v>
      </c>
      <c r="C197">
        <f>8776.7</f>
        <v>8776.7000000000007</v>
      </c>
      <c r="G197" t="s">
        <v>266</v>
      </c>
      <c r="H197" t="s">
        <v>267</v>
      </c>
      <c r="M197">
        <v>1</v>
      </c>
    </row>
    <row r="198" spans="1:14" hidden="1" x14ac:dyDescent="0.35">
      <c r="A198" t="s">
        <v>268</v>
      </c>
      <c r="B198">
        <v>91000</v>
      </c>
      <c r="M198">
        <v>0</v>
      </c>
    </row>
    <row r="199" spans="1:14" hidden="1" x14ac:dyDescent="0.35">
      <c r="A199" t="s">
        <v>269</v>
      </c>
      <c r="B199">
        <v>286000</v>
      </c>
      <c r="G199" t="s">
        <v>270</v>
      </c>
      <c r="H199" t="s">
        <v>271</v>
      </c>
      <c r="M199">
        <v>1</v>
      </c>
      <c r="N199">
        <f>162489.48+275.02+5763.15+38984.21+42000</f>
        <v>249511.86</v>
      </c>
    </row>
    <row r="200" spans="1:14" hidden="1" x14ac:dyDescent="0.35">
      <c r="A200" t="s">
        <v>272</v>
      </c>
      <c r="B200">
        <f>210000</f>
        <v>210000</v>
      </c>
      <c r="C200">
        <v>2091.75</v>
      </c>
      <c r="D200">
        <v>26300</v>
      </c>
      <c r="E200">
        <v>148.80000000000001</v>
      </c>
      <c r="F200">
        <v>500000</v>
      </c>
      <c r="K200">
        <v>61000</v>
      </c>
      <c r="M200">
        <v>1</v>
      </c>
      <c r="N200">
        <v>15000</v>
      </c>
    </row>
    <row r="201" spans="1:14" hidden="1" x14ac:dyDescent="0.35">
      <c r="A201" t="s">
        <v>273</v>
      </c>
      <c r="B201">
        <v>30000</v>
      </c>
      <c r="C201">
        <f>1859.33+2376.82</f>
        <v>4236.1499999999996</v>
      </c>
      <c r="E201">
        <v>130</v>
      </c>
      <c r="F201">
        <v>850000</v>
      </c>
      <c r="K201">
        <f>160000+25000+100000</f>
        <v>285000</v>
      </c>
      <c r="M201">
        <v>1</v>
      </c>
    </row>
    <row r="202" spans="1:14" hidden="1" x14ac:dyDescent="0.35">
      <c r="A202" t="s">
        <v>274</v>
      </c>
      <c r="B202">
        <v>5829.6</v>
      </c>
      <c r="E202">
        <v>450</v>
      </c>
      <c r="F202">
        <v>1500000</v>
      </c>
      <c r="G202">
        <v>36</v>
      </c>
      <c r="H202">
        <v>350000</v>
      </c>
      <c r="K202">
        <v>15000</v>
      </c>
      <c r="M202">
        <v>1</v>
      </c>
      <c r="N202">
        <f>229978.14+17850</f>
        <v>247828.14</v>
      </c>
    </row>
    <row r="203" spans="1:14" hidden="1" x14ac:dyDescent="0.35">
      <c r="A203" s="2" t="s">
        <v>275</v>
      </c>
      <c r="G203">
        <v>82.2</v>
      </c>
      <c r="H203">
        <v>400000</v>
      </c>
      <c r="M203">
        <v>1</v>
      </c>
      <c r="N203">
        <f>342018.35+125921.9+26112.73+17850</f>
        <v>511902.98</v>
      </c>
    </row>
    <row r="204" spans="1:14" hidden="1" x14ac:dyDescent="0.35">
      <c r="A204" t="s">
        <v>276</v>
      </c>
      <c r="B204">
        <v>20000</v>
      </c>
      <c r="G204">
        <v>59.1</v>
      </c>
      <c r="H204">
        <v>420000</v>
      </c>
      <c r="K204">
        <f>30000+285000+79000</f>
        <v>394000</v>
      </c>
      <c r="M204">
        <v>2</v>
      </c>
      <c r="N204">
        <f>31111+21200+226057.25</f>
        <v>278368.25</v>
      </c>
    </row>
    <row r="205" spans="1:14" hidden="1" x14ac:dyDescent="0.35">
      <c r="A205" t="s">
        <v>277</v>
      </c>
      <c r="B205">
        <v>235000</v>
      </c>
      <c r="C205">
        <v>153731.38</v>
      </c>
      <c r="E205">
        <v>200</v>
      </c>
      <c r="F205">
        <v>400000</v>
      </c>
      <c r="I205">
        <v>2.17</v>
      </c>
      <c r="J205">
        <v>110000</v>
      </c>
      <c r="K205">
        <v>20000</v>
      </c>
      <c r="M205">
        <v>1</v>
      </c>
    </row>
    <row r="206" spans="1:14" hidden="1" x14ac:dyDescent="0.35">
      <c r="A206" t="s">
        <v>278</v>
      </c>
      <c r="B206">
        <v>11000</v>
      </c>
      <c r="D206">
        <v>41955</v>
      </c>
      <c r="E206">
        <v>120</v>
      </c>
      <c r="F206">
        <v>400000</v>
      </c>
      <c r="I206">
        <v>2.96</v>
      </c>
      <c r="J206">
        <v>300000</v>
      </c>
      <c r="K206">
        <v>80000</v>
      </c>
      <c r="M206">
        <v>1</v>
      </c>
      <c r="N206">
        <f>21335.6+46894.2</f>
        <v>68229.799999999988</v>
      </c>
    </row>
    <row r="207" spans="1:14" hidden="1" x14ac:dyDescent="0.35">
      <c r="A207" t="s">
        <v>279</v>
      </c>
      <c r="B207">
        <v>10000</v>
      </c>
      <c r="E207">
        <v>120</v>
      </c>
      <c r="F207">
        <v>250000</v>
      </c>
      <c r="I207">
        <v>0.8</v>
      </c>
      <c r="J207">
        <v>30000</v>
      </c>
      <c r="K207">
        <v>20000</v>
      </c>
      <c r="M207">
        <v>0</v>
      </c>
      <c r="N207">
        <f>39245.55+ 47847+83399.61+42000+43300</f>
        <v>255792.16</v>
      </c>
    </row>
    <row r="208" spans="1:14" hidden="1" x14ac:dyDescent="0.35">
      <c r="A208" t="s">
        <v>280</v>
      </c>
      <c r="B208">
        <v>57000</v>
      </c>
      <c r="E208">
        <v>159.12</v>
      </c>
      <c r="F208">
        <v>700000</v>
      </c>
      <c r="K208">
        <v>120000</v>
      </c>
      <c r="M208">
        <v>1</v>
      </c>
      <c r="N208">
        <f>276761.44+101945.23+60000</f>
        <v>438706.67</v>
      </c>
    </row>
    <row r="209" spans="1:14" hidden="1" x14ac:dyDescent="0.35">
      <c r="A209" t="s">
        <v>281</v>
      </c>
      <c r="B209">
        <v>39306.06</v>
      </c>
      <c r="C209">
        <v>546.11</v>
      </c>
      <c r="D209">
        <v>3556173.18</v>
      </c>
      <c r="L209">
        <f>2850100*0.1</f>
        <v>285010</v>
      </c>
      <c r="M209">
        <v>1</v>
      </c>
      <c r="N209">
        <v>50000</v>
      </c>
    </row>
    <row r="210" spans="1:14" hidden="1" x14ac:dyDescent="0.35">
      <c r="A210" t="s">
        <v>282</v>
      </c>
      <c r="B210">
        <v>19000</v>
      </c>
      <c r="C210">
        <f>3708.06+657.25</f>
        <v>4365.3099999999995</v>
      </c>
      <c r="D210">
        <f>206829.9+6582.81</f>
        <v>213412.71</v>
      </c>
      <c r="M210">
        <v>1</v>
      </c>
    </row>
    <row r="211" spans="1:14" hidden="1" x14ac:dyDescent="0.35">
      <c r="A211" t="s">
        <v>283</v>
      </c>
      <c r="B211">
        <v>113958.25</v>
      </c>
      <c r="D211">
        <v>9294.4</v>
      </c>
      <c r="G211">
        <v>64</v>
      </c>
      <c r="H211">
        <v>240000</v>
      </c>
      <c r="I211">
        <v>0.92</v>
      </c>
      <c r="J211">
        <v>25000</v>
      </c>
      <c r="M211">
        <v>2</v>
      </c>
    </row>
    <row r="212" spans="1:14" hidden="1" x14ac:dyDescent="0.35">
      <c r="A212" t="s">
        <v>284</v>
      </c>
      <c r="B212">
        <v>67012.399999999994</v>
      </c>
      <c r="E212">
        <v>248</v>
      </c>
      <c r="F212">
        <v>780000</v>
      </c>
      <c r="M212">
        <v>3</v>
      </c>
      <c r="N212">
        <f>210425.24+23000</f>
        <v>233425.24</v>
      </c>
    </row>
    <row r="213" spans="1:14" hidden="1" x14ac:dyDescent="0.35">
      <c r="A213" t="s">
        <v>285</v>
      </c>
      <c r="B213">
        <f>45000+13000+24000</f>
        <v>82000</v>
      </c>
      <c r="C213">
        <f>2315.24 + 875.55</f>
        <v>3190.79</v>
      </c>
      <c r="G213" t="s">
        <v>286</v>
      </c>
      <c r="H213" t="s">
        <v>287</v>
      </c>
      <c r="K213">
        <f>25000+25000+20000+100000+40000</f>
        <v>210000</v>
      </c>
      <c r="M213">
        <v>1</v>
      </c>
      <c r="N213">
        <f>15000+153000</f>
        <v>168000</v>
      </c>
    </row>
    <row r="214" spans="1:14" x14ac:dyDescent="0.35">
      <c r="A214" t="s">
        <v>288</v>
      </c>
      <c r="B214">
        <v>12689.17</v>
      </c>
      <c r="E214">
        <v>188</v>
      </c>
      <c r="F214">
        <v>400000</v>
      </c>
      <c r="N214">
        <v>445220.56</v>
      </c>
    </row>
    <row r="215" spans="1:14" x14ac:dyDescent="0.35">
      <c r="A215" s="2" t="s">
        <v>289</v>
      </c>
    </row>
    <row r="216" spans="1:14" hidden="1" x14ac:dyDescent="0.35">
      <c r="A216" t="s">
        <v>290</v>
      </c>
      <c r="B216">
        <v>30972.41</v>
      </c>
      <c r="C216">
        <v>3700.65</v>
      </c>
      <c r="E216">
        <v>170</v>
      </c>
      <c r="F216">
        <v>700000</v>
      </c>
      <c r="K216">
        <f>120000+1500+1200</f>
        <v>122700</v>
      </c>
      <c r="M216">
        <v>1</v>
      </c>
      <c r="N216">
        <f>312545.12+25500</f>
        <v>338045.12</v>
      </c>
    </row>
    <row r="217" spans="1:14" hidden="1" x14ac:dyDescent="0.35">
      <c r="A217" t="s">
        <v>291</v>
      </c>
      <c r="B217">
        <v>30000</v>
      </c>
      <c r="G217">
        <v>85</v>
      </c>
      <c r="H217">
        <v>400000</v>
      </c>
      <c r="M217">
        <v>1</v>
      </c>
      <c r="N217">
        <f>561447.5+125000+40000+35000</f>
        <v>761447.5</v>
      </c>
    </row>
    <row r="218" spans="1:14" hidden="1" x14ac:dyDescent="0.35">
      <c r="A218" t="s">
        <v>292</v>
      </c>
      <c r="B218">
        <v>21450</v>
      </c>
      <c r="C218">
        <v>5832.81</v>
      </c>
      <c r="E218">
        <v>154</v>
      </c>
      <c r="F218">
        <v>1400000</v>
      </c>
      <c r="G218">
        <v>125</v>
      </c>
      <c r="H218">
        <v>950000</v>
      </c>
      <c r="K218">
        <v>2000000</v>
      </c>
      <c r="M218">
        <v>1</v>
      </c>
      <c r="N218">
        <f>161778+18135.97</f>
        <v>179913.97</v>
      </c>
    </row>
    <row r="219" spans="1:14" hidden="1" x14ac:dyDescent="0.35">
      <c r="A219" t="s">
        <v>293</v>
      </c>
      <c r="B219">
        <f>110169.69+12530.31</f>
        <v>122700</v>
      </c>
      <c r="D219">
        <v>80088.5</v>
      </c>
      <c r="I219">
        <v>2.2599999999999998</v>
      </c>
      <c r="J219">
        <v>56500</v>
      </c>
      <c r="M219">
        <v>3</v>
      </c>
      <c r="N219">
        <v>19107.599999999999</v>
      </c>
    </row>
    <row r="220" spans="1:14" x14ac:dyDescent="0.35">
      <c r="A220" s="2" t="s">
        <v>294</v>
      </c>
    </row>
    <row r="221" spans="1:14" hidden="1" x14ac:dyDescent="0.35">
      <c r="A221" t="s">
        <v>295</v>
      </c>
      <c r="B221">
        <v>5500</v>
      </c>
      <c r="D221">
        <f>11959+10290+266</f>
        <v>22515</v>
      </c>
      <c r="G221" t="s">
        <v>296</v>
      </c>
      <c r="H221" t="s">
        <v>297</v>
      </c>
      <c r="K221">
        <v>35000</v>
      </c>
      <c r="L221">
        <v>200</v>
      </c>
      <c r="M221">
        <v>1</v>
      </c>
      <c r="N221">
        <v>389930</v>
      </c>
    </row>
    <row r="222" spans="1:14" hidden="1" x14ac:dyDescent="0.35">
      <c r="A222" t="s">
        <v>298</v>
      </c>
      <c r="B222">
        <v>20000</v>
      </c>
      <c r="E222">
        <v>175</v>
      </c>
      <c r="F222">
        <v>500000</v>
      </c>
      <c r="M222">
        <v>1</v>
      </c>
      <c r="N222">
        <f>144808.61+17000+19000</f>
        <v>180808.61</v>
      </c>
    </row>
    <row r="223" spans="1:14" hidden="1" x14ac:dyDescent="0.35">
      <c r="A223" t="s">
        <v>299</v>
      </c>
      <c r="B223">
        <v>50000</v>
      </c>
      <c r="C223">
        <f>23116.47 + 788.71</f>
        <v>23905.18</v>
      </c>
      <c r="D223">
        <v>220</v>
      </c>
      <c r="G223">
        <v>78.88</v>
      </c>
      <c r="H223">
        <v>350000</v>
      </c>
      <c r="K223">
        <f>45000+400000+650000</f>
        <v>1095000</v>
      </c>
      <c r="M223">
        <v>2</v>
      </c>
      <c r="N223">
        <f>199239+20000+200510+205993+490000</f>
        <v>1115742</v>
      </c>
    </row>
    <row r="224" spans="1:14" hidden="1" x14ac:dyDescent="0.35">
      <c r="A224" t="s">
        <v>300</v>
      </c>
      <c r="B224">
        <v>287000</v>
      </c>
      <c r="D224">
        <f>309490+302652+1962413+17320</f>
        <v>2591875</v>
      </c>
      <c r="E224">
        <v>180</v>
      </c>
      <c r="F224">
        <v>830000</v>
      </c>
      <c r="G224">
        <v>32</v>
      </c>
      <c r="H224">
        <v>190000</v>
      </c>
      <c r="L224">
        <f>61831*6</f>
        <v>370986</v>
      </c>
      <c r="M224">
        <v>1</v>
      </c>
      <c r="N224">
        <v>630165.11</v>
      </c>
    </row>
    <row r="225" spans="1:14" hidden="1" x14ac:dyDescent="0.35">
      <c r="A225" t="s">
        <v>301</v>
      </c>
      <c r="B225">
        <f>16387.48</f>
        <v>16387.48</v>
      </c>
      <c r="D225">
        <v>20026.27</v>
      </c>
      <c r="E225">
        <v>100</v>
      </c>
      <c r="F225">
        <v>100000</v>
      </c>
      <c r="K225">
        <v>18000</v>
      </c>
      <c r="M225">
        <v>2</v>
      </c>
      <c r="N225">
        <v>19281.96</v>
      </c>
    </row>
    <row r="226" spans="1:14" hidden="1" x14ac:dyDescent="0.35">
      <c r="A226" t="s">
        <v>302</v>
      </c>
      <c r="B226">
        <v>350059.13</v>
      </c>
      <c r="C226">
        <v>2189095</v>
      </c>
      <c r="D226">
        <v>4860098.84</v>
      </c>
      <c r="E226">
        <v>350</v>
      </c>
      <c r="F226">
        <v>2500000</v>
      </c>
      <c r="I226">
        <v>1.47</v>
      </c>
      <c r="J226">
        <v>60000</v>
      </c>
      <c r="K226">
        <v>34000000</v>
      </c>
      <c r="L226">
        <v>1000</v>
      </c>
      <c r="M226">
        <v>4</v>
      </c>
      <c r="N226">
        <f>6000000+131846.91+103900+240225+2490000+2312501.86</f>
        <v>11278473.77</v>
      </c>
    </row>
    <row r="227" spans="1:14" hidden="1" x14ac:dyDescent="0.35">
      <c r="A227" t="s">
        <v>303</v>
      </c>
      <c r="B227">
        <v>110800</v>
      </c>
      <c r="E227">
        <v>220</v>
      </c>
      <c r="F227">
        <v>450000</v>
      </c>
      <c r="G227">
        <v>34</v>
      </c>
      <c r="H227">
        <v>218000</v>
      </c>
      <c r="I227">
        <v>2.2000000000000002</v>
      </c>
      <c r="J227">
        <v>600000</v>
      </c>
      <c r="M227">
        <v>2</v>
      </c>
    </row>
    <row r="228" spans="1:14" hidden="1" x14ac:dyDescent="0.35">
      <c r="A228" t="s">
        <v>304</v>
      </c>
      <c r="E228">
        <v>121.06</v>
      </c>
      <c r="F228">
        <v>650000</v>
      </c>
      <c r="M228">
        <v>1</v>
      </c>
    </row>
    <row r="229" spans="1:14" hidden="1" x14ac:dyDescent="0.35">
      <c r="A229" t="s">
        <v>305</v>
      </c>
      <c r="B229">
        <f>2668.45+58644.91</f>
        <v>61313.36</v>
      </c>
      <c r="G229">
        <v>55.08</v>
      </c>
      <c r="H229">
        <v>300000</v>
      </c>
      <c r="K229">
        <v>27000</v>
      </c>
      <c r="M229">
        <v>1</v>
      </c>
    </row>
    <row r="230" spans="1:14" hidden="1" x14ac:dyDescent="0.35">
      <c r="A230" t="s">
        <v>306</v>
      </c>
      <c r="B230">
        <v>8000</v>
      </c>
      <c r="G230" t="s">
        <v>307</v>
      </c>
      <c r="H230" t="s">
        <v>308</v>
      </c>
      <c r="K230">
        <v>4000</v>
      </c>
      <c r="M230">
        <v>1</v>
      </c>
      <c r="N230">
        <f>16000+12350+17087</f>
        <v>45437</v>
      </c>
    </row>
    <row r="231" spans="1:14" hidden="1" x14ac:dyDescent="0.35">
      <c r="A231" t="s">
        <v>309</v>
      </c>
      <c r="B231">
        <v>24638.87</v>
      </c>
      <c r="C231">
        <v>1317.89</v>
      </c>
      <c r="D231">
        <f>41194.88+19541.49</f>
        <v>60736.369999999995</v>
      </c>
      <c r="M231">
        <v>1</v>
      </c>
    </row>
    <row r="232" spans="1:14" hidden="1" x14ac:dyDescent="0.35">
      <c r="A232" t="s">
        <v>310</v>
      </c>
      <c r="B232">
        <v>14000</v>
      </c>
      <c r="C232">
        <f>878.75+569.72+273.06</f>
        <v>1721.53</v>
      </c>
      <c r="D232">
        <v>50000</v>
      </c>
      <c r="E232">
        <v>150</v>
      </c>
      <c r="F232">
        <v>1000000</v>
      </c>
      <c r="G232" t="s">
        <v>311</v>
      </c>
      <c r="H232" t="s">
        <v>312</v>
      </c>
      <c r="K232">
        <f>100000+120000</f>
        <v>220000</v>
      </c>
      <c r="M232">
        <v>4</v>
      </c>
      <c r="N232">
        <f>160000+30000</f>
        <v>190000</v>
      </c>
    </row>
    <row r="233" spans="1:14" hidden="1" x14ac:dyDescent="0.35">
      <c r="A233" t="s">
        <v>313</v>
      </c>
      <c r="B233">
        <v>47649.440000000002</v>
      </c>
      <c r="E233">
        <v>160</v>
      </c>
      <c r="F233">
        <v>500000</v>
      </c>
      <c r="G233">
        <v>38</v>
      </c>
      <c r="H233">
        <v>300000</v>
      </c>
      <c r="K233">
        <v>100000</v>
      </c>
      <c r="M233">
        <v>1</v>
      </c>
      <c r="N233">
        <v>600</v>
      </c>
    </row>
    <row r="234" spans="1:14" hidden="1" x14ac:dyDescent="0.35">
      <c r="A234" t="s">
        <v>314</v>
      </c>
      <c r="B234">
        <v>170000</v>
      </c>
      <c r="D234">
        <v>15000</v>
      </c>
      <c r="E234">
        <v>120</v>
      </c>
      <c r="F234">
        <v>250000</v>
      </c>
      <c r="G234">
        <v>67.38</v>
      </c>
      <c r="H234">
        <v>160000</v>
      </c>
      <c r="K234">
        <f>30000+15000</f>
        <v>45000</v>
      </c>
      <c r="M234">
        <v>1</v>
      </c>
    </row>
    <row r="235" spans="1:14" hidden="1" x14ac:dyDescent="0.35">
      <c r="A235" t="s">
        <v>315</v>
      </c>
      <c r="B235">
        <v>240000</v>
      </c>
      <c r="C235">
        <f>462.55+2191.17</f>
        <v>2653.7200000000003</v>
      </c>
      <c r="E235">
        <v>400</v>
      </c>
      <c r="F235">
        <v>950000</v>
      </c>
      <c r="I235">
        <v>23.7</v>
      </c>
      <c r="J235">
        <v>2200000</v>
      </c>
      <c r="M235">
        <v>5</v>
      </c>
      <c r="N235">
        <v>150000</v>
      </c>
    </row>
    <row r="236" spans="1:14" hidden="1" x14ac:dyDescent="0.35">
      <c r="A236" t="s">
        <v>316</v>
      </c>
      <c r="B236">
        <v>60000</v>
      </c>
      <c r="E236">
        <v>144</v>
      </c>
      <c r="F236">
        <v>470000</v>
      </c>
      <c r="K236">
        <v>30000</v>
      </c>
      <c r="M236">
        <v>2</v>
      </c>
      <c r="N236">
        <f>26533.2+17850+72696.82+10925.29+73325.95</f>
        <v>201331.26</v>
      </c>
    </row>
    <row r="237" spans="1:14" hidden="1" x14ac:dyDescent="0.35">
      <c r="A237" t="s">
        <v>317</v>
      </c>
      <c r="B237">
        <v>290000</v>
      </c>
      <c r="E237">
        <v>112</v>
      </c>
      <c r="G237" t="s">
        <v>318</v>
      </c>
      <c r="H237" t="s">
        <v>319</v>
      </c>
      <c r="I237">
        <v>1.93</v>
      </c>
      <c r="J237">
        <v>100000</v>
      </c>
      <c r="K237">
        <f>20000+120000</f>
        <v>140000</v>
      </c>
      <c r="M237">
        <v>1</v>
      </c>
    </row>
    <row r="238" spans="1:14" hidden="1" x14ac:dyDescent="0.35">
      <c r="A238" t="s">
        <v>320</v>
      </c>
      <c r="B238">
        <v>38000</v>
      </c>
      <c r="D238">
        <v>25</v>
      </c>
      <c r="G238">
        <v>70.31</v>
      </c>
      <c r="H238">
        <v>299478.46999999997</v>
      </c>
      <c r="K238">
        <v>48000</v>
      </c>
      <c r="M238">
        <v>2</v>
      </c>
      <c r="N238">
        <f>244138.04+32123.47</f>
        <v>276261.51</v>
      </c>
    </row>
    <row r="239" spans="1:14" hidden="1" x14ac:dyDescent="0.35">
      <c r="A239" t="s">
        <v>321</v>
      </c>
      <c r="B239">
        <v>235000</v>
      </c>
      <c r="E239" t="s">
        <v>322</v>
      </c>
      <c r="F239">
        <v>2800000</v>
      </c>
      <c r="K239">
        <v>490000</v>
      </c>
      <c r="M239">
        <v>0</v>
      </c>
    </row>
    <row r="240" spans="1:14" hidden="1" x14ac:dyDescent="0.35">
      <c r="A240" t="s">
        <v>323</v>
      </c>
      <c r="B240">
        <v>75647.320000000007</v>
      </c>
      <c r="C240">
        <v>4936.24</v>
      </c>
      <c r="D240">
        <v>200</v>
      </c>
      <c r="E240">
        <v>200</v>
      </c>
      <c r="F240">
        <v>500000</v>
      </c>
      <c r="G240">
        <v>24.27</v>
      </c>
      <c r="H240">
        <v>200000</v>
      </c>
      <c r="I240">
        <f>12.43+0.33</f>
        <v>12.76</v>
      </c>
      <c r="J240">
        <v>150000</v>
      </c>
      <c r="K240">
        <v>780000</v>
      </c>
      <c r="M240">
        <v>0</v>
      </c>
    </row>
    <row r="241" spans="1:14" hidden="1" x14ac:dyDescent="0.35">
      <c r="A241" t="s">
        <v>324</v>
      </c>
      <c r="B241">
        <f>170000+48200+39800+42500+21325+6000</f>
        <v>327825</v>
      </c>
      <c r="C241">
        <v>2313.7800000000002</v>
      </c>
      <c r="D241">
        <f>80200+5000+3400</f>
        <v>88600</v>
      </c>
      <c r="E241">
        <v>200</v>
      </c>
      <c r="F241">
        <v>250000</v>
      </c>
      <c r="G241" t="s">
        <v>325</v>
      </c>
      <c r="H241" t="s">
        <v>326</v>
      </c>
      <c r="K241">
        <f>190000+58724</f>
        <v>248724</v>
      </c>
      <c r="M241">
        <v>1</v>
      </c>
      <c r="N241">
        <f>25800+12000</f>
        <v>37800</v>
      </c>
    </row>
    <row r="242" spans="1:14" hidden="1" x14ac:dyDescent="0.35">
      <c r="A242" t="s">
        <v>327</v>
      </c>
      <c r="B242">
        <v>49406.1</v>
      </c>
      <c r="E242">
        <v>168</v>
      </c>
      <c r="F242">
        <v>310000</v>
      </c>
      <c r="I242">
        <v>5.4358000000000004</v>
      </c>
      <c r="J242">
        <v>60000</v>
      </c>
      <c r="K242">
        <v>70000</v>
      </c>
      <c r="M242">
        <v>0</v>
      </c>
    </row>
    <row r="243" spans="1:14" hidden="1" x14ac:dyDescent="0.35">
      <c r="A243" t="s">
        <v>328</v>
      </c>
      <c r="B243">
        <v>101300</v>
      </c>
      <c r="C243">
        <v>5553.07</v>
      </c>
      <c r="D243">
        <v>330</v>
      </c>
      <c r="G243" t="s">
        <v>329</v>
      </c>
      <c r="H243" t="s">
        <v>330</v>
      </c>
      <c r="K243">
        <v>24000</v>
      </c>
      <c r="M243">
        <v>2</v>
      </c>
    </row>
    <row r="244" spans="1:14" hidden="1" x14ac:dyDescent="0.35">
      <c r="A244" t="s">
        <v>331</v>
      </c>
      <c r="B244">
        <v>92992.99</v>
      </c>
      <c r="E244" t="s">
        <v>332</v>
      </c>
      <c r="F244" t="s">
        <v>333</v>
      </c>
      <c r="K244">
        <f>164600+47712+26320+42300+39620+7080+5120+7120+4440+2200+1640</f>
        <v>348152</v>
      </c>
      <c r="M244">
        <v>0</v>
      </c>
      <c r="N244">
        <f>695907.06</f>
        <v>695907.06</v>
      </c>
    </row>
    <row r="245" spans="1:14" hidden="1" x14ac:dyDescent="0.35">
      <c r="A245" t="s">
        <v>334</v>
      </c>
      <c r="B245">
        <v>7000</v>
      </c>
      <c r="E245">
        <v>250</v>
      </c>
      <c r="F245">
        <v>400000</v>
      </c>
      <c r="K245">
        <v>1070000</v>
      </c>
      <c r="M245">
        <v>0</v>
      </c>
      <c r="N245">
        <f>85000+30000</f>
        <v>115000</v>
      </c>
    </row>
    <row r="246" spans="1:14" hidden="1" x14ac:dyDescent="0.35">
      <c r="A246" t="s">
        <v>335</v>
      </c>
      <c r="B246">
        <v>52132.52</v>
      </c>
      <c r="M246">
        <v>0</v>
      </c>
    </row>
    <row r="247" spans="1:14" hidden="1" x14ac:dyDescent="0.35">
      <c r="A247" t="s">
        <v>336</v>
      </c>
      <c r="B247">
        <v>450000</v>
      </c>
      <c r="C247">
        <f>6943.68+876.59</f>
        <v>7820.27</v>
      </c>
      <c r="G247">
        <v>59</v>
      </c>
      <c r="H247">
        <v>500000</v>
      </c>
      <c r="M247">
        <v>0</v>
      </c>
      <c r="N247">
        <f>181055.45+77000</f>
        <v>258055.45</v>
      </c>
    </row>
    <row r="248" spans="1:14" hidden="1" x14ac:dyDescent="0.35">
      <c r="A248" t="s">
        <v>337</v>
      </c>
      <c r="B248">
        <f>48100+7500</f>
        <v>55600</v>
      </c>
      <c r="E248">
        <v>160</v>
      </c>
      <c r="F248">
        <v>400000</v>
      </c>
      <c r="K248">
        <v>100000</v>
      </c>
      <c r="M248">
        <v>2</v>
      </c>
      <c r="N248">
        <f>4049.14+11500</f>
        <v>15549.14</v>
      </c>
    </row>
    <row r="249" spans="1:14" hidden="1" x14ac:dyDescent="0.35">
      <c r="A249" t="s">
        <v>338</v>
      </c>
      <c r="B249">
        <v>11697.36</v>
      </c>
      <c r="M249">
        <v>1</v>
      </c>
      <c r="N249">
        <f>69621.31+11697.36</f>
        <v>81318.67</v>
      </c>
    </row>
    <row r="250" spans="1:14" hidden="1" x14ac:dyDescent="0.35">
      <c r="A250" t="s">
        <v>339</v>
      </c>
      <c r="E250">
        <v>137</v>
      </c>
      <c r="F250">
        <v>400000</v>
      </c>
      <c r="K250">
        <v>80000</v>
      </c>
      <c r="M250">
        <v>1</v>
      </c>
      <c r="N250">
        <f>121017.25+69100.58+59475.88+9546.69+21000+21850</f>
        <v>301990.40000000002</v>
      </c>
    </row>
    <row r="251" spans="1:14" hidden="1" x14ac:dyDescent="0.35">
      <c r="A251" t="s">
        <v>340</v>
      </c>
      <c r="B251">
        <v>637046.36</v>
      </c>
      <c r="C251">
        <f>68860.44+5809.55</f>
        <v>74669.990000000005</v>
      </c>
      <c r="K251">
        <f>55000+234000</f>
        <v>289000</v>
      </c>
      <c r="M251">
        <v>0</v>
      </c>
    </row>
    <row r="252" spans="1:14" hidden="1" x14ac:dyDescent="0.35">
      <c r="A252" t="s">
        <v>341</v>
      </c>
      <c r="B252">
        <v>52000</v>
      </c>
      <c r="E252">
        <v>230</v>
      </c>
      <c r="F252">
        <v>650000</v>
      </c>
      <c r="G252">
        <v>59.5</v>
      </c>
      <c r="H252">
        <v>180000</v>
      </c>
      <c r="K252">
        <v>30000</v>
      </c>
      <c r="M252">
        <v>1</v>
      </c>
      <c r="N252">
        <v>30000</v>
      </c>
    </row>
    <row r="253" spans="1:14" hidden="1" x14ac:dyDescent="0.35">
      <c r="A253" t="s">
        <v>342</v>
      </c>
      <c r="B253">
        <v>120000</v>
      </c>
      <c r="C253">
        <f>106469.76+8765.9</f>
        <v>115235.65999999999</v>
      </c>
      <c r="M253">
        <v>0</v>
      </c>
    </row>
    <row r="254" spans="1:14" hidden="1" x14ac:dyDescent="0.35">
      <c r="A254" t="s">
        <v>343</v>
      </c>
      <c r="B254">
        <v>4700000</v>
      </c>
      <c r="E254" t="s">
        <v>344</v>
      </c>
      <c r="F254" t="s">
        <v>345</v>
      </c>
      <c r="G254">
        <v>72.400000000000006</v>
      </c>
      <c r="H254">
        <v>1100000</v>
      </c>
      <c r="K254">
        <v>800000</v>
      </c>
      <c r="L254">
        <v>350000</v>
      </c>
      <c r="M254">
        <v>0</v>
      </c>
    </row>
    <row r="255" spans="1:14" hidden="1" x14ac:dyDescent="0.35">
      <c r="A255" t="s">
        <v>346</v>
      </c>
      <c r="B255">
        <f>6984.12+47148.09</f>
        <v>54132.21</v>
      </c>
      <c r="G255">
        <v>72.849999999999994</v>
      </c>
      <c r="H255">
        <v>250000</v>
      </c>
      <c r="L255">
        <f>85*2.97</f>
        <v>252.45000000000002</v>
      </c>
      <c r="M255">
        <v>1</v>
      </c>
    </row>
    <row r="256" spans="1:14" hidden="1" x14ac:dyDescent="0.35">
      <c r="A256" t="s">
        <v>347</v>
      </c>
      <c r="B256">
        <v>10000</v>
      </c>
      <c r="G256">
        <v>63.7</v>
      </c>
      <c r="H256">
        <v>210000</v>
      </c>
      <c r="M256">
        <v>2</v>
      </c>
      <c r="N256">
        <v>108400</v>
      </c>
    </row>
    <row r="257" spans="1:14" hidden="1" x14ac:dyDescent="0.35">
      <c r="A257" t="s">
        <v>348</v>
      </c>
      <c r="B257">
        <v>48000</v>
      </c>
      <c r="D257">
        <f>51000+50000+12000</f>
        <v>113000</v>
      </c>
      <c r="E257">
        <v>264</v>
      </c>
      <c r="F257">
        <v>550000</v>
      </c>
      <c r="K257">
        <f>100000+60000+430000+5000</f>
        <v>595000</v>
      </c>
      <c r="M257">
        <v>1</v>
      </c>
      <c r="N257">
        <v>25500</v>
      </c>
    </row>
    <row r="258" spans="1:14" hidden="1" x14ac:dyDescent="0.35">
      <c r="A258" t="s">
        <v>349</v>
      </c>
      <c r="B258">
        <v>54307.33</v>
      </c>
      <c r="E258">
        <v>254.5</v>
      </c>
      <c r="F258">
        <v>500000</v>
      </c>
      <c r="K258">
        <f>60000+100000</f>
        <v>160000</v>
      </c>
      <c r="M258">
        <v>1</v>
      </c>
      <c r="N258">
        <f>12032.7</f>
        <v>12032.7</v>
      </c>
    </row>
    <row r="259" spans="1:14" hidden="1" x14ac:dyDescent="0.35">
      <c r="A259" t="s">
        <v>350</v>
      </c>
      <c r="B259">
        <f>39670+45908+31680+34627.8</f>
        <v>151885.79999999999</v>
      </c>
      <c r="C259">
        <f>16711.12</f>
        <v>16711.12</v>
      </c>
      <c r="G259" t="s">
        <v>351</v>
      </c>
      <c r="H259" t="s">
        <v>352</v>
      </c>
      <c r="M259">
        <v>1</v>
      </c>
      <c r="N259">
        <f>25984.57+13854+12205.96+155300</f>
        <v>207344.53</v>
      </c>
    </row>
    <row r="260" spans="1:14" hidden="1" x14ac:dyDescent="0.35">
      <c r="A260" t="s">
        <v>353</v>
      </c>
      <c r="B260">
        <v>116000</v>
      </c>
      <c r="G260">
        <v>117</v>
      </c>
      <c r="H260">
        <v>528750</v>
      </c>
      <c r="M260">
        <v>1</v>
      </c>
      <c r="N260">
        <f>77200</f>
        <v>77200</v>
      </c>
    </row>
    <row r="261" spans="1:14" hidden="1" x14ac:dyDescent="0.35">
      <c r="A261" t="s">
        <v>354</v>
      </c>
      <c r="B261">
        <v>126926</v>
      </c>
      <c r="C261">
        <v>11006.66</v>
      </c>
      <c r="D261">
        <f>14595+30656</f>
        <v>45251</v>
      </c>
      <c r="E261">
        <v>239</v>
      </c>
      <c r="F261">
        <v>650000</v>
      </c>
      <c r="K261">
        <v>100000</v>
      </c>
      <c r="M261">
        <v>2</v>
      </c>
    </row>
    <row r="262" spans="1:14" hidden="1" x14ac:dyDescent="0.35">
      <c r="A262" t="s">
        <v>355</v>
      </c>
      <c r="B262">
        <v>12500</v>
      </c>
      <c r="G262">
        <v>104.82</v>
      </c>
      <c r="H262">
        <v>265000</v>
      </c>
      <c r="M262">
        <v>0</v>
      </c>
      <c r="N262">
        <v>90756.2</v>
      </c>
    </row>
    <row r="263" spans="1:14" x14ac:dyDescent="0.35">
      <c r="A263" s="2" t="s">
        <v>356</v>
      </c>
    </row>
    <row r="264" spans="1:14" hidden="1" x14ac:dyDescent="0.35">
      <c r="A264" t="s">
        <v>357</v>
      </c>
      <c r="B264">
        <v>150000</v>
      </c>
      <c r="C264">
        <f>925.82+876.59+1979.7+64317.16</f>
        <v>68099.27</v>
      </c>
      <c r="D264">
        <f>12560.08+5023.75+11089.77+20814.93+18621.48+12672+45000</f>
        <v>125782.01</v>
      </c>
      <c r="E264" t="s">
        <v>358</v>
      </c>
      <c r="F264" t="s">
        <v>359</v>
      </c>
      <c r="M264">
        <v>1</v>
      </c>
    </row>
    <row r="265" spans="1:14" hidden="1" x14ac:dyDescent="0.35">
      <c r="A265" t="s">
        <v>360</v>
      </c>
      <c r="B265">
        <v>30000</v>
      </c>
      <c r="G265">
        <v>55.4</v>
      </c>
      <c r="H265">
        <v>300000</v>
      </c>
      <c r="M265">
        <v>0</v>
      </c>
      <c r="N265">
        <f>200278.38+20667.5</f>
        <v>220945.88</v>
      </c>
    </row>
    <row r="266" spans="1:14" hidden="1" x14ac:dyDescent="0.35">
      <c r="A266" t="s">
        <v>361</v>
      </c>
      <c r="B266">
        <v>22406.66</v>
      </c>
      <c r="G266">
        <v>107</v>
      </c>
      <c r="H266">
        <v>890000</v>
      </c>
      <c r="M266">
        <v>0</v>
      </c>
      <c r="N266">
        <v>231830</v>
      </c>
    </row>
    <row r="267" spans="1:14" hidden="1" x14ac:dyDescent="0.35">
      <c r="A267" t="s">
        <v>362</v>
      </c>
      <c r="B267">
        <v>7000</v>
      </c>
      <c r="D267">
        <v>8000</v>
      </c>
      <c r="E267">
        <v>300</v>
      </c>
      <c r="F267">
        <v>950000</v>
      </c>
      <c r="K267">
        <f>400000</f>
        <v>400000</v>
      </c>
      <c r="M267">
        <v>3</v>
      </c>
      <c r="N267">
        <v>747676.81</v>
      </c>
    </row>
    <row r="268" spans="1:14" hidden="1" x14ac:dyDescent="0.35">
      <c r="A268" t="s">
        <v>363</v>
      </c>
      <c r="B268">
        <v>6000</v>
      </c>
      <c r="E268">
        <v>176.1</v>
      </c>
      <c r="F268">
        <v>350000</v>
      </c>
      <c r="K268">
        <v>250000</v>
      </c>
      <c r="M268">
        <v>1</v>
      </c>
    </row>
    <row r="269" spans="1:14" hidden="1" x14ac:dyDescent="0.35">
      <c r="A269" t="s">
        <v>364</v>
      </c>
      <c r="B269">
        <f>15000+13709.31+22730.1+33726.88</f>
        <v>85166.29</v>
      </c>
      <c r="D269">
        <f>561929.95-33726.88</f>
        <v>528203.06999999995</v>
      </c>
      <c r="G269" t="s">
        <v>365</v>
      </c>
      <c r="H269" t="s">
        <v>366</v>
      </c>
      <c r="K269">
        <v>100000</v>
      </c>
      <c r="M269">
        <v>2</v>
      </c>
      <c r="N269">
        <f>299084.9+9220+11500</f>
        <v>319804.90000000002</v>
      </c>
    </row>
    <row r="270" spans="1:14" hidden="1" x14ac:dyDescent="0.35">
      <c r="A270" t="s">
        <v>367</v>
      </c>
      <c r="B270">
        <v>59000</v>
      </c>
      <c r="C270">
        <f>53234.88+1665.52</f>
        <v>54900.399999999994</v>
      </c>
      <c r="G270">
        <v>153</v>
      </c>
      <c r="H270">
        <v>1500000</v>
      </c>
      <c r="M270">
        <v>2</v>
      </c>
      <c r="N270">
        <f>349998.5</f>
        <v>349998.5</v>
      </c>
    </row>
    <row r="271" spans="1:14" hidden="1" x14ac:dyDescent="0.35">
      <c r="A271" t="s">
        <v>368</v>
      </c>
      <c r="B271">
        <v>183862.99</v>
      </c>
      <c r="C271">
        <v>257.47000000000003</v>
      </c>
      <c r="E271">
        <v>162</v>
      </c>
      <c r="F271">
        <v>3000000</v>
      </c>
      <c r="G271">
        <v>137</v>
      </c>
      <c r="H271">
        <v>2500000</v>
      </c>
      <c r="M271">
        <v>0</v>
      </c>
    </row>
    <row r="272" spans="1:14" hidden="1" x14ac:dyDescent="0.35">
      <c r="A272" t="s">
        <v>369</v>
      </c>
      <c r="B272">
        <v>41699.980000000003</v>
      </c>
      <c r="C272">
        <v>4559.93</v>
      </c>
      <c r="D272">
        <f>231265.13</f>
        <v>231265.13</v>
      </c>
      <c r="E272">
        <v>263.39999999999998</v>
      </c>
      <c r="F272">
        <v>650000</v>
      </c>
      <c r="K272">
        <v>50000</v>
      </c>
      <c r="M272">
        <v>3</v>
      </c>
      <c r="N272">
        <v>30592.639999999999</v>
      </c>
    </row>
    <row r="273" spans="1:14" hidden="1" x14ac:dyDescent="0.35">
      <c r="A273" t="s">
        <v>370</v>
      </c>
      <c r="B273">
        <v>120000</v>
      </c>
      <c r="G273">
        <v>37.57</v>
      </c>
      <c r="H273">
        <v>100000</v>
      </c>
      <c r="M273">
        <v>0</v>
      </c>
    </row>
    <row r="274" spans="1:14" hidden="1" x14ac:dyDescent="0.35">
      <c r="A274" t="s">
        <v>371</v>
      </c>
      <c r="B274">
        <f>1070000</f>
        <v>1070000</v>
      </c>
      <c r="C274">
        <f>6480.77+32872.13+2247.8</f>
        <v>41600.699999999997</v>
      </c>
      <c r="G274">
        <v>55.41</v>
      </c>
      <c r="H274">
        <v>300000</v>
      </c>
      <c r="K274">
        <v>50000</v>
      </c>
      <c r="M274">
        <v>0</v>
      </c>
    </row>
    <row r="275" spans="1:14" hidden="1" x14ac:dyDescent="0.35">
      <c r="A275" t="s">
        <v>372</v>
      </c>
      <c r="B275">
        <f>75000+55830.85</f>
        <v>130830.85</v>
      </c>
      <c r="E275">
        <v>240</v>
      </c>
      <c r="F275">
        <v>400000</v>
      </c>
      <c r="I275">
        <v>1.36</v>
      </c>
      <c r="J275">
        <v>50000</v>
      </c>
      <c r="K275">
        <f>318000</f>
        <v>318000</v>
      </c>
      <c r="M275">
        <v>3</v>
      </c>
      <c r="N275">
        <f>112905+1232267.37+2710920</f>
        <v>4056092.37</v>
      </c>
    </row>
    <row r="276" spans="1:14" hidden="1" x14ac:dyDescent="0.35">
      <c r="A276" t="s">
        <v>373</v>
      </c>
      <c r="B276">
        <v>30000</v>
      </c>
      <c r="E276">
        <v>168</v>
      </c>
      <c r="F276">
        <v>450000</v>
      </c>
      <c r="K276">
        <v>20000</v>
      </c>
      <c r="M276">
        <v>1</v>
      </c>
      <c r="N276">
        <v>213245.89</v>
      </c>
    </row>
    <row r="277" spans="1:14" hidden="1" x14ac:dyDescent="0.35">
      <c r="A277" t="s">
        <v>374</v>
      </c>
      <c r="B277">
        <v>65238</v>
      </c>
      <c r="E277">
        <v>105</v>
      </c>
      <c r="F277">
        <v>300000</v>
      </c>
      <c r="K277">
        <f>25000+45000+70000</f>
        <v>140000</v>
      </c>
      <c r="L277">
        <v>1916.78</v>
      </c>
      <c r="M277">
        <v>2</v>
      </c>
      <c r="N277">
        <v>103543.28</v>
      </c>
    </row>
    <row r="278" spans="1:14" hidden="1" x14ac:dyDescent="0.35">
      <c r="A278" t="s">
        <v>375</v>
      </c>
      <c r="B278">
        <v>95000</v>
      </c>
      <c r="C278">
        <v>4629.12</v>
      </c>
      <c r="G278">
        <v>48.25</v>
      </c>
      <c r="H278">
        <v>250000</v>
      </c>
      <c r="M278">
        <v>1</v>
      </c>
      <c r="N278">
        <v>251792.29</v>
      </c>
    </row>
    <row r="279" spans="1:14" hidden="1" x14ac:dyDescent="0.35">
      <c r="A279" t="s">
        <v>376</v>
      </c>
      <c r="B279">
        <v>26820.2</v>
      </c>
      <c r="G279" t="s">
        <v>377</v>
      </c>
      <c r="H279" t="s">
        <v>378</v>
      </c>
      <c r="M279">
        <v>1</v>
      </c>
      <c r="N279">
        <f>22689.51+26100</f>
        <v>48789.509999999995</v>
      </c>
    </row>
    <row r="280" spans="1:14" hidden="1" x14ac:dyDescent="0.35">
      <c r="A280" t="s">
        <v>379</v>
      </c>
      <c r="B280">
        <v>660000</v>
      </c>
      <c r="D280">
        <v>529465</v>
      </c>
      <c r="E280">
        <v>157.5</v>
      </c>
      <c r="F280">
        <v>250000</v>
      </c>
      <c r="I280">
        <v>29.5</v>
      </c>
      <c r="J280">
        <v>900000</v>
      </c>
      <c r="M280">
        <v>3</v>
      </c>
    </row>
    <row r="281" spans="1:14" hidden="1" x14ac:dyDescent="0.35">
      <c r="A281" t="s">
        <v>380</v>
      </c>
      <c r="B281">
        <v>30000</v>
      </c>
      <c r="G281">
        <v>51.71</v>
      </c>
      <c r="H281">
        <v>87725</v>
      </c>
      <c r="M281">
        <v>1</v>
      </c>
      <c r="N281">
        <v>47179.71</v>
      </c>
    </row>
    <row r="282" spans="1:14" hidden="1" x14ac:dyDescent="0.35">
      <c r="A282" t="s">
        <v>381</v>
      </c>
      <c r="B282">
        <v>100000</v>
      </c>
      <c r="C282">
        <f>4629.12+4382.95</f>
        <v>9012.07</v>
      </c>
      <c r="E282">
        <v>180</v>
      </c>
      <c r="F282">
        <v>650000</v>
      </c>
      <c r="K282">
        <v>100000</v>
      </c>
      <c r="M282">
        <v>1</v>
      </c>
    </row>
    <row r="283" spans="1:14" hidden="1" x14ac:dyDescent="0.35">
      <c r="A283" t="s">
        <v>382</v>
      </c>
      <c r="B283">
        <v>20000</v>
      </c>
      <c r="E283">
        <v>106</v>
      </c>
      <c r="F283">
        <v>192000</v>
      </c>
      <c r="G283" t="s">
        <v>383</v>
      </c>
      <c r="H283" t="s">
        <v>384</v>
      </c>
      <c r="K283">
        <v>30000</v>
      </c>
      <c r="M283">
        <v>0</v>
      </c>
      <c r="N283">
        <f>472364.99+40000</f>
        <v>512364.99</v>
      </c>
    </row>
    <row r="284" spans="1:14" hidden="1" x14ac:dyDescent="0.35">
      <c r="A284" t="s">
        <v>385</v>
      </c>
      <c r="E284">
        <v>170</v>
      </c>
      <c r="F284">
        <v>500000</v>
      </c>
      <c r="I284">
        <v>157.71</v>
      </c>
      <c r="J284">
        <v>380000</v>
      </c>
      <c r="M284">
        <v>1</v>
      </c>
      <c r="N284">
        <f>39000+38000</f>
        <v>77000</v>
      </c>
    </row>
    <row r="285" spans="1:14" x14ac:dyDescent="0.35">
      <c r="A285" s="2" t="s">
        <v>386</v>
      </c>
    </row>
    <row r="286" spans="1:14" hidden="1" x14ac:dyDescent="0.35">
      <c r="A286" t="s">
        <v>387</v>
      </c>
      <c r="B286">
        <v>25340</v>
      </c>
      <c r="C286">
        <f>46291.2+43829.5</f>
        <v>90120.7</v>
      </c>
      <c r="E286" t="s">
        <v>388</v>
      </c>
      <c r="F286" t="s">
        <v>389</v>
      </c>
      <c r="K286">
        <v>25000</v>
      </c>
      <c r="M286">
        <v>1</v>
      </c>
    </row>
    <row r="287" spans="1:14" hidden="1" x14ac:dyDescent="0.35">
      <c r="A287" t="s">
        <v>390</v>
      </c>
      <c r="B287">
        <v>230000</v>
      </c>
      <c r="E287">
        <v>160</v>
      </c>
      <c r="G287">
        <v>51</v>
      </c>
      <c r="M287">
        <v>2</v>
      </c>
    </row>
    <row r="288" spans="1:14" hidden="1" x14ac:dyDescent="0.35">
      <c r="A288" t="s">
        <v>391</v>
      </c>
      <c r="B288">
        <v>50000</v>
      </c>
      <c r="G288">
        <v>72</v>
      </c>
      <c r="H288">
        <v>550000</v>
      </c>
      <c r="K288">
        <v>150000</v>
      </c>
      <c r="M288">
        <v>1</v>
      </c>
      <c r="N288">
        <v>55000</v>
      </c>
    </row>
    <row r="289" spans="1:14" hidden="1" x14ac:dyDescent="0.35">
      <c r="A289" t="s">
        <v>392</v>
      </c>
      <c r="B289">
        <v>37000</v>
      </c>
      <c r="K289">
        <v>240000</v>
      </c>
      <c r="M289">
        <v>1</v>
      </c>
    </row>
    <row r="290" spans="1:14" hidden="1" x14ac:dyDescent="0.35">
      <c r="A290" t="s">
        <v>393</v>
      </c>
      <c r="B290">
        <v>164186.35999999999</v>
      </c>
      <c r="C290">
        <v>35948.959999999999</v>
      </c>
      <c r="E290">
        <v>63</v>
      </c>
      <c r="F290">
        <v>100000</v>
      </c>
      <c r="K290">
        <v>50000</v>
      </c>
      <c r="M290">
        <v>1</v>
      </c>
      <c r="N290">
        <v>10000</v>
      </c>
    </row>
    <row r="291" spans="1:14" hidden="1" x14ac:dyDescent="0.35">
      <c r="A291" t="s">
        <v>394</v>
      </c>
      <c r="B291">
        <v>195662.8</v>
      </c>
      <c r="C291">
        <f>925.82</f>
        <v>925.82</v>
      </c>
      <c r="E291">
        <v>423.3</v>
      </c>
      <c r="F291">
        <v>1400000</v>
      </c>
      <c r="G291" t="s">
        <v>395</v>
      </c>
      <c r="H291" t="s">
        <v>396</v>
      </c>
      <c r="K291">
        <f>400000+100000+12000+25000</f>
        <v>537000</v>
      </c>
      <c r="M291">
        <v>1</v>
      </c>
      <c r="N291">
        <f>24225+155212.2+36675.78+151210.76</f>
        <v>367323.74</v>
      </c>
    </row>
    <row r="292" spans="1:14" hidden="1" x14ac:dyDescent="0.35">
      <c r="A292" t="s">
        <v>397</v>
      </c>
      <c r="B292">
        <v>72050.77</v>
      </c>
      <c r="G292">
        <v>48.12</v>
      </c>
      <c r="H292">
        <v>300000</v>
      </c>
      <c r="M292">
        <v>0</v>
      </c>
      <c r="N292">
        <v>147880.71</v>
      </c>
    </row>
    <row r="293" spans="1:14" hidden="1" x14ac:dyDescent="0.35">
      <c r="A293" t="s">
        <v>398</v>
      </c>
      <c r="B293">
        <v>14832</v>
      </c>
      <c r="E293">
        <v>190</v>
      </c>
      <c r="F293">
        <v>750000</v>
      </c>
      <c r="M293">
        <v>1</v>
      </c>
      <c r="N293">
        <f>147387.83+82613.14+34559.32</f>
        <v>264560.28999999998</v>
      </c>
    </row>
    <row r="294" spans="1:14" hidden="1" x14ac:dyDescent="0.35">
      <c r="A294" t="s">
        <v>399</v>
      </c>
      <c r="B294">
        <v>3652.37</v>
      </c>
      <c r="E294">
        <v>184</v>
      </c>
      <c r="F294">
        <v>350000</v>
      </c>
      <c r="I294">
        <v>1.65</v>
      </c>
      <c r="J294">
        <v>28000</v>
      </c>
      <c r="K294">
        <f>20000</f>
        <v>20000</v>
      </c>
      <c r="M294">
        <v>1</v>
      </c>
      <c r="N294">
        <f>126083.63+4406.22</f>
        <v>130489.85</v>
      </c>
    </row>
    <row r="295" spans="1:14" hidden="1" x14ac:dyDescent="0.35">
      <c r="A295" t="s">
        <v>400</v>
      </c>
      <c r="B295">
        <v>20000</v>
      </c>
      <c r="D295">
        <v>245416</v>
      </c>
      <c r="E295">
        <v>200</v>
      </c>
      <c r="F295">
        <v>500000</v>
      </c>
      <c r="G295">
        <v>23.5</v>
      </c>
      <c r="H295">
        <v>100000</v>
      </c>
      <c r="K295">
        <v>100000</v>
      </c>
      <c r="M295">
        <v>1</v>
      </c>
      <c r="N295">
        <f>46363.55+29506.05</f>
        <v>75869.600000000006</v>
      </c>
    </row>
    <row r="296" spans="1:14" hidden="1" x14ac:dyDescent="0.35">
      <c r="A296" t="s">
        <v>401</v>
      </c>
      <c r="E296">
        <v>90</v>
      </c>
      <c r="F296">
        <v>150000</v>
      </c>
      <c r="M296">
        <v>1</v>
      </c>
    </row>
    <row r="297" spans="1:14" hidden="1" x14ac:dyDescent="0.35">
      <c r="A297" t="s">
        <v>402</v>
      </c>
      <c r="B297">
        <v>42000</v>
      </c>
      <c r="E297">
        <v>281</v>
      </c>
      <c r="F297">
        <v>450000</v>
      </c>
      <c r="G297">
        <v>57</v>
      </c>
      <c r="H297">
        <v>160000</v>
      </c>
      <c r="K297">
        <v>30000</v>
      </c>
      <c r="M297">
        <v>1</v>
      </c>
      <c r="N297">
        <f>128075.08+163195.45+109924.74+67000+23800</f>
        <v>491995.27</v>
      </c>
    </row>
    <row r="298" spans="1:14" hidden="1" x14ac:dyDescent="0.35">
      <c r="A298" t="s">
        <v>403</v>
      </c>
      <c r="B298">
        <f>99515.16+87222.74</f>
        <v>186737.90000000002</v>
      </c>
      <c r="E298">
        <v>150</v>
      </c>
      <c r="F298">
        <v>550000</v>
      </c>
      <c r="G298" t="s">
        <v>404</v>
      </c>
      <c r="H298" t="s">
        <v>405</v>
      </c>
      <c r="M298">
        <v>2</v>
      </c>
    </row>
    <row r="299" spans="1:14" hidden="1" x14ac:dyDescent="0.35">
      <c r="A299" t="s">
        <v>406</v>
      </c>
      <c r="B299">
        <v>300000</v>
      </c>
      <c r="C299">
        <f>243028.8</f>
        <v>243028.8</v>
      </c>
      <c r="D299">
        <v>490000</v>
      </c>
      <c r="G299">
        <v>91.54</v>
      </c>
      <c r="H299">
        <v>400000</v>
      </c>
      <c r="M299">
        <v>2</v>
      </c>
      <c r="N299">
        <v>98000</v>
      </c>
    </row>
    <row r="300" spans="1:14" hidden="1" x14ac:dyDescent="0.35">
      <c r="A300" t="s">
        <v>407</v>
      </c>
      <c r="B300">
        <v>210000</v>
      </c>
      <c r="C300">
        <v>15044.64</v>
      </c>
      <c r="G300" t="s">
        <v>408</v>
      </c>
      <c r="H300" t="s">
        <v>409</v>
      </c>
      <c r="M300">
        <v>1</v>
      </c>
      <c r="N300">
        <f>33613.67</f>
        <v>33613.67</v>
      </c>
    </row>
    <row r="301" spans="1:14" hidden="1" x14ac:dyDescent="0.35">
      <c r="A301" t="s">
        <v>410</v>
      </c>
      <c r="B301">
        <v>56466.76</v>
      </c>
      <c r="C301">
        <v>53663.68</v>
      </c>
      <c r="D301">
        <v>21136.3</v>
      </c>
      <c r="E301">
        <v>220</v>
      </c>
      <c r="M301">
        <v>2</v>
      </c>
      <c r="N301">
        <f>193035.55</f>
        <v>193035.55</v>
      </c>
    </row>
    <row r="302" spans="1:14" hidden="1" x14ac:dyDescent="0.35">
      <c r="A302" t="s">
        <v>411</v>
      </c>
      <c r="B302">
        <v>70500</v>
      </c>
      <c r="E302">
        <v>170</v>
      </c>
      <c r="F302">
        <v>400000</v>
      </c>
      <c r="G302" t="s">
        <v>412</v>
      </c>
      <c r="H302" t="s">
        <v>413</v>
      </c>
      <c r="K302">
        <f>28600+26400+41800</f>
        <v>96800</v>
      </c>
      <c r="M302">
        <v>1</v>
      </c>
    </row>
    <row r="303" spans="1:14" hidden="1" x14ac:dyDescent="0.35">
      <c r="A303" t="s">
        <v>414</v>
      </c>
      <c r="B303">
        <v>8500</v>
      </c>
      <c r="C303">
        <f>2777.47+3506.36</f>
        <v>6283.83</v>
      </c>
      <c r="G303" t="s">
        <v>415</v>
      </c>
      <c r="H303" t="s">
        <v>416</v>
      </c>
      <c r="K303">
        <v>250000</v>
      </c>
      <c r="M303">
        <v>1</v>
      </c>
      <c r="N303">
        <f>45000+11000</f>
        <v>56000</v>
      </c>
    </row>
    <row r="304" spans="1:14" hidden="1" x14ac:dyDescent="0.35">
      <c r="A304" t="s">
        <v>417</v>
      </c>
      <c r="B304">
        <f>255000+50000</f>
        <v>305000</v>
      </c>
      <c r="D304">
        <v>54000</v>
      </c>
      <c r="G304" t="s">
        <v>418</v>
      </c>
      <c r="H304" t="s">
        <v>419</v>
      </c>
      <c r="K304">
        <v>16500</v>
      </c>
      <c r="M304">
        <v>1</v>
      </c>
    </row>
    <row r="305" spans="1:14" hidden="1" x14ac:dyDescent="0.35">
      <c r="A305" t="s">
        <v>420</v>
      </c>
      <c r="B305">
        <f>81198.81+120284.83+125223.54</f>
        <v>326707.18</v>
      </c>
      <c r="E305" t="s">
        <v>421</v>
      </c>
      <c r="F305" t="s">
        <v>422</v>
      </c>
      <c r="K305">
        <f>81000</f>
        <v>81000</v>
      </c>
      <c r="M305">
        <v>1</v>
      </c>
      <c r="N305">
        <f>4468.56</f>
        <v>4468.5600000000004</v>
      </c>
    </row>
    <row r="306" spans="1:14" hidden="1" x14ac:dyDescent="0.35">
      <c r="A306" t="s">
        <v>423</v>
      </c>
      <c r="B306">
        <v>2800</v>
      </c>
      <c r="C306">
        <f>26.71</f>
        <v>26.71</v>
      </c>
      <c r="E306">
        <v>250</v>
      </c>
      <c r="F306">
        <v>250000</v>
      </c>
      <c r="G306" t="s">
        <v>424</v>
      </c>
      <c r="H306" t="s">
        <v>425</v>
      </c>
      <c r="M306">
        <v>1</v>
      </c>
      <c r="N306">
        <f>742500+13327.34+30000</f>
        <v>785827.34</v>
      </c>
    </row>
    <row r="307" spans="1:14" hidden="1" x14ac:dyDescent="0.35">
      <c r="A307" t="s">
        <v>426</v>
      </c>
      <c r="B307">
        <v>100000</v>
      </c>
      <c r="E307">
        <v>130</v>
      </c>
      <c r="F307">
        <v>980000</v>
      </c>
      <c r="M307">
        <v>1</v>
      </c>
      <c r="N307">
        <f>220000+30000</f>
        <v>250000</v>
      </c>
    </row>
    <row r="308" spans="1:14" hidden="1" x14ac:dyDescent="0.35">
      <c r="A308" t="s">
        <v>427</v>
      </c>
      <c r="B308">
        <v>48400</v>
      </c>
      <c r="C308">
        <f>2083.1+1417.67</f>
        <v>3500.77</v>
      </c>
      <c r="G308">
        <v>57.4</v>
      </c>
      <c r="H308">
        <v>200000</v>
      </c>
      <c r="M308">
        <v>1</v>
      </c>
      <c r="N308">
        <f>108598.95</f>
        <v>108598.95</v>
      </c>
    </row>
    <row r="309" spans="1:14" hidden="1" x14ac:dyDescent="0.35">
      <c r="A309" t="s">
        <v>428</v>
      </c>
      <c r="B309">
        <v>20375</v>
      </c>
      <c r="E309">
        <v>130</v>
      </c>
      <c r="F309">
        <v>320000</v>
      </c>
      <c r="K309">
        <v>180000</v>
      </c>
      <c r="M309">
        <v>1</v>
      </c>
      <c r="N309">
        <f>38095+24400+31752</f>
        <v>94247</v>
      </c>
    </row>
    <row r="310" spans="1:14" hidden="1" x14ac:dyDescent="0.35">
      <c r="A310" t="s">
        <v>429</v>
      </c>
      <c r="B310">
        <v>655105</v>
      </c>
      <c r="C310">
        <f>13100.41+8125.99</f>
        <v>21226.400000000001</v>
      </c>
      <c r="E310">
        <v>217.79</v>
      </c>
      <c r="F310">
        <v>350000</v>
      </c>
      <c r="K310">
        <f>18000+25000+24000+60000</f>
        <v>127000</v>
      </c>
      <c r="M310">
        <v>2</v>
      </c>
    </row>
    <row r="311" spans="1:14" hidden="1" x14ac:dyDescent="0.35">
      <c r="A311" t="s">
        <v>430</v>
      </c>
      <c r="B311">
        <v>243657.61</v>
      </c>
      <c r="C311">
        <f>6486.77</f>
        <v>6486.77</v>
      </c>
      <c r="E311">
        <v>110</v>
      </c>
      <c r="F311">
        <v>250000</v>
      </c>
      <c r="I311">
        <v>11.13</v>
      </c>
      <c r="J311">
        <v>275000</v>
      </c>
      <c r="K311">
        <v>57000</v>
      </c>
      <c r="M311">
        <v>2</v>
      </c>
    </row>
    <row r="312" spans="1:14" hidden="1" x14ac:dyDescent="0.35">
      <c r="A312" t="s">
        <v>431</v>
      </c>
      <c r="B312">
        <f>160000+15000</f>
        <v>175000</v>
      </c>
      <c r="C312">
        <f>2314.56</f>
        <v>2314.56</v>
      </c>
      <c r="G312" t="s">
        <v>432</v>
      </c>
      <c r="H312" t="s">
        <v>433</v>
      </c>
      <c r="I312">
        <v>0.1132</v>
      </c>
      <c r="J312">
        <v>100000</v>
      </c>
      <c r="K312">
        <v>10000</v>
      </c>
      <c r="M312">
        <v>0</v>
      </c>
    </row>
    <row r="313" spans="1:14" hidden="1" x14ac:dyDescent="0.35">
      <c r="A313" t="s">
        <v>434</v>
      </c>
      <c r="B313">
        <v>40000</v>
      </c>
      <c r="C313">
        <f>4629.12</f>
        <v>4629.12</v>
      </c>
      <c r="D313">
        <f>44845.81+53904.63</f>
        <v>98750.44</v>
      </c>
      <c r="E313">
        <v>376</v>
      </c>
      <c r="F313">
        <v>1500000</v>
      </c>
      <c r="G313">
        <v>111</v>
      </c>
      <c r="H313">
        <v>1500000</v>
      </c>
      <c r="K313">
        <v>50000</v>
      </c>
      <c r="M313">
        <v>1</v>
      </c>
      <c r="N313">
        <f>435000+427224.02</f>
        <v>862224.02</v>
      </c>
    </row>
    <row r="314" spans="1:14" hidden="1" x14ac:dyDescent="0.35">
      <c r="A314" t="s">
        <v>435</v>
      </c>
      <c r="B314">
        <v>35000</v>
      </c>
      <c r="E314">
        <v>200</v>
      </c>
      <c r="F314">
        <v>800000</v>
      </c>
      <c r="M314">
        <v>1</v>
      </c>
      <c r="N314">
        <f>114400+3350+23800</f>
        <v>141550</v>
      </c>
    </row>
    <row r="315" spans="1:14" hidden="1" x14ac:dyDescent="0.35">
      <c r="A315" t="s">
        <v>436</v>
      </c>
      <c r="B315">
        <v>110000</v>
      </c>
      <c r="C315">
        <f>438.3</f>
        <v>438.3</v>
      </c>
      <c r="E315">
        <v>127.83</v>
      </c>
      <c r="F315">
        <v>100000</v>
      </c>
      <c r="G315" t="s">
        <v>437</v>
      </c>
      <c r="H315" t="s">
        <v>438</v>
      </c>
      <c r="K315">
        <f>180000</f>
        <v>180000</v>
      </c>
      <c r="M315">
        <v>1</v>
      </c>
      <c r="N315">
        <f>774400+154000+30600</f>
        <v>959000</v>
      </c>
    </row>
    <row r="316" spans="1:14" hidden="1" x14ac:dyDescent="0.35">
      <c r="A316" t="s">
        <v>439</v>
      </c>
      <c r="B316">
        <v>21416.28</v>
      </c>
      <c r="G316">
        <v>94.97</v>
      </c>
      <c r="H316">
        <f>200000+130000</f>
        <v>330000</v>
      </c>
      <c r="K316">
        <v>25050</v>
      </c>
      <c r="M316">
        <v>2</v>
      </c>
      <c r="N316">
        <v>5050</v>
      </c>
    </row>
    <row r="317" spans="1:14" hidden="1" x14ac:dyDescent="0.35">
      <c r="A317" t="s">
        <v>440</v>
      </c>
      <c r="B317">
        <v>870000</v>
      </c>
      <c r="C317">
        <f>3240.38</f>
        <v>3240.38</v>
      </c>
      <c r="G317" t="s">
        <v>441</v>
      </c>
      <c r="H317" t="s">
        <v>442</v>
      </c>
      <c r="K317">
        <f>350000+60000</f>
        <v>410000</v>
      </c>
      <c r="M317">
        <v>2</v>
      </c>
      <c r="N317">
        <v>32000</v>
      </c>
    </row>
    <row r="318" spans="1:14" hidden="1" x14ac:dyDescent="0.35">
      <c r="A318" t="s">
        <v>443</v>
      </c>
      <c r="B318">
        <v>90000</v>
      </c>
      <c r="C318">
        <f>18516.48</f>
        <v>18516.48</v>
      </c>
      <c r="E318">
        <v>247</v>
      </c>
      <c r="F318">
        <v>1350000</v>
      </c>
      <c r="M318">
        <v>0</v>
      </c>
      <c r="N318">
        <f>76000+40000+12700+6000+20000</f>
        <v>154700</v>
      </c>
    </row>
    <row r="319" spans="1:14" hidden="1" x14ac:dyDescent="0.35">
      <c r="A319" t="s">
        <v>444</v>
      </c>
      <c r="B319">
        <v>53630</v>
      </c>
      <c r="C319">
        <f>694.37</f>
        <v>694.37</v>
      </c>
      <c r="E319">
        <v>196</v>
      </c>
      <c r="F319">
        <v>350000</v>
      </c>
      <c r="M319">
        <v>2</v>
      </c>
      <c r="N319">
        <f>35000+70500+353291.62+17850</f>
        <v>476641.62</v>
      </c>
    </row>
    <row r="320" spans="1:14" hidden="1" x14ac:dyDescent="0.35">
      <c r="A320" t="s">
        <v>445</v>
      </c>
      <c r="B320">
        <v>414000</v>
      </c>
      <c r="E320">
        <v>180</v>
      </c>
      <c r="F320">
        <v>800000</v>
      </c>
      <c r="G320">
        <v>26</v>
      </c>
      <c r="H320">
        <v>110000</v>
      </c>
      <c r="M320">
        <v>3</v>
      </c>
      <c r="N320">
        <v>410000</v>
      </c>
    </row>
    <row r="321" spans="1:14" hidden="1" x14ac:dyDescent="0.35">
      <c r="A321" t="s">
        <v>446</v>
      </c>
      <c r="B321">
        <v>29851.35</v>
      </c>
      <c r="E321" t="s">
        <v>447</v>
      </c>
      <c r="F321" t="s">
        <v>448</v>
      </c>
      <c r="K321">
        <v>80000</v>
      </c>
      <c r="M321">
        <v>1</v>
      </c>
    </row>
    <row r="322" spans="1:14" hidden="1" x14ac:dyDescent="0.35">
      <c r="A322" t="s">
        <v>449</v>
      </c>
      <c r="B322">
        <v>232721.76</v>
      </c>
      <c r="C322">
        <f>24352.92</f>
        <v>24352.92</v>
      </c>
      <c r="K322">
        <f>43000+57000</f>
        <v>100000</v>
      </c>
      <c r="M322">
        <v>2</v>
      </c>
    </row>
    <row r="323" spans="1:14" hidden="1" x14ac:dyDescent="0.35">
      <c r="A323" t="s">
        <v>450</v>
      </c>
      <c r="B323">
        <v>75000</v>
      </c>
      <c r="G323" t="s">
        <v>451</v>
      </c>
      <c r="H323" t="s">
        <v>452</v>
      </c>
      <c r="M323">
        <v>1</v>
      </c>
      <c r="N323">
        <f>188322.65+10000</f>
        <v>198322.65</v>
      </c>
    </row>
    <row r="324" spans="1:14" hidden="1" x14ac:dyDescent="0.35">
      <c r="A324" t="s">
        <v>453</v>
      </c>
      <c r="B324">
        <v>920000</v>
      </c>
      <c r="C324">
        <f>865645.44+4382.95</f>
        <v>870028.3899999999</v>
      </c>
      <c r="D324">
        <v>1556000</v>
      </c>
      <c r="E324">
        <v>390</v>
      </c>
      <c r="F324">
        <v>2500000</v>
      </c>
      <c r="K324">
        <v>200000</v>
      </c>
      <c r="M324">
        <v>3</v>
      </c>
    </row>
    <row r="325" spans="1:14" hidden="1" x14ac:dyDescent="0.35">
      <c r="A325" t="s">
        <v>454</v>
      </c>
      <c r="B325">
        <v>13651</v>
      </c>
      <c r="C325">
        <f>24421.8</f>
        <v>24421.8</v>
      </c>
      <c r="E325" t="s">
        <v>455</v>
      </c>
      <c r="F325" t="s">
        <v>456</v>
      </c>
      <c r="G325" t="s">
        <v>457</v>
      </c>
      <c r="H325" t="s">
        <v>433</v>
      </c>
      <c r="K325">
        <v>50000</v>
      </c>
      <c r="M325">
        <v>2</v>
      </c>
      <c r="N325">
        <f>59982.25</f>
        <v>59982.25</v>
      </c>
    </row>
    <row r="326" spans="1:14" hidden="1" x14ac:dyDescent="0.35">
      <c r="A326" t="s">
        <v>458</v>
      </c>
      <c r="B326">
        <v>26000</v>
      </c>
      <c r="E326">
        <v>100</v>
      </c>
      <c r="F326">
        <v>500000</v>
      </c>
      <c r="K326">
        <f>250000+20000</f>
        <v>270000</v>
      </c>
      <c r="M326">
        <v>2</v>
      </c>
      <c r="N326">
        <v>20000</v>
      </c>
    </row>
    <row r="327" spans="1:14" hidden="1" x14ac:dyDescent="0.35">
      <c r="A327" t="s">
        <v>459</v>
      </c>
      <c r="B327">
        <v>70000</v>
      </c>
      <c r="E327">
        <v>171</v>
      </c>
      <c r="F327">
        <v>300000</v>
      </c>
      <c r="G327" t="s">
        <v>460</v>
      </c>
      <c r="H327" t="s">
        <v>461</v>
      </c>
      <c r="K327">
        <f>300000+750000+60000</f>
        <v>1110000</v>
      </c>
      <c r="M327">
        <v>2</v>
      </c>
      <c r="N327">
        <f>89719.54+90028.52+640000</f>
        <v>819748.06</v>
      </c>
    </row>
    <row r="328" spans="1:14" hidden="1" x14ac:dyDescent="0.35">
      <c r="A328" t="s">
        <v>462</v>
      </c>
      <c r="B328">
        <f>185425</f>
        <v>185425</v>
      </c>
      <c r="C328">
        <f>31.02</f>
        <v>31.02</v>
      </c>
      <c r="D328">
        <f>4250+7445+5694</f>
        <v>17389</v>
      </c>
      <c r="G328" t="s">
        <v>463</v>
      </c>
      <c r="H328" t="s">
        <v>464</v>
      </c>
      <c r="K328">
        <f>48000</f>
        <v>48000</v>
      </c>
      <c r="M328">
        <v>5</v>
      </c>
    </row>
    <row r="329" spans="1:14" hidden="1" x14ac:dyDescent="0.35">
      <c r="A329" t="s">
        <v>465</v>
      </c>
      <c r="B329">
        <v>250000</v>
      </c>
      <c r="C329">
        <f>105.19</f>
        <v>105.19</v>
      </c>
      <c r="G329">
        <v>68</v>
      </c>
      <c r="H329">
        <v>480000</v>
      </c>
      <c r="K329">
        <v>40000</v>
      </c>
      <c r="M329">
        <v>1</v>
      </c>
      <c r="N329">
        <v>111437.11</v>
      </c>
    </row>
    <row r="330" spans="1:14" hidden="1" x14ac:dyDescent="0.35">
      <c r="A330" t="s">
        <v>466</v>
      </c>
      <c r="B330">
        <v>257000</v>
      </c>
      <c r="E330">
        <v>182</v>
      </c>
      <c r="F330">
        <v>400000</v>
      </c>
      <c r="K330">
        <v>5000</v>
      </c>
      <c r="M330">
        <v>1</v>
      </c>
    </row>
    <row r="331" spans="1:14" hidden="1" x14ac:dyDescent="0.35">
      <c r="A331" t="s">
        <v>467</v>
      </c>
      <c r="B331">
        <v>36000</v>
      </c>
      <c r="C331">
        <v>14003.09</v>
      </c>
      <c r="G331">
        <v>77.3</v>
      </c>
      <c r="H331">
        <v>270000</v>
      </c>
      <c r="K331">
        <f>19000</f>
        <v>19000</v>
      </c>
      <c r="M331">
        <v>2</v>
      </c>
    </row>
    <row r="332" spans="1:14" hidden="1" x14ac:dyDescent="0.35">
      <c r="A332" t="s">
        <v>468</v>
      </c>
      <c r="B332">
        <v>175.99</v>
      </c>
      <c r="C332">
        <v>115.73</v>
      </c>
      <c r="D332">
        <v>23278.1</v>
      </c>
      <c r="G332">
        <v>49.7</v>
      </c>
      <c r="H332">
        <v>350000</v>
      </c>
      <c r="K332">
        <v>75000</v>
      </c>
      <c r="M332">
        <v>2</v>
      </c>
      <c r="N332">
        <f>12375.81+16445.81</f>
        <v>28821.620000000003</v>
      </c>
    </row>
    <row r="333" spans="1:14" hidden="1" x14ac:dyDescent="0.35">
      <c r="A333" t="s">
        <v>469</v>
      </c>
      <c r="B333">
        <v>10000</v>
      </c>
      <c r="E333">
        <v>256.39999999999998</v>
      </c>
      <c r="F333">
        <v>500000</v>
      </c>
      <c r="M333">
        <v>2</v>
      </c>
      <c r="N333">
        <f>39100</f>
        <v>39100</v>
      </c>
    </row>
    <row r="334" spans="1:14" hidden="1" x14ac:dyDescent="0.35">
      <c r="A334" t="s">
        <v>470</v>
      </c>
      <c r="B334">
        <v>30636</v>
      </c>
      <c r="E334" t="s">
        <v>471</v>
      </c>
      <c r="F334" t="s">
        <v>472</v>
      </c>
      <c r="I334">
        <f>1.1+0.85+0.17+1.1</f>
        <v>3.22</v>
      </c>
      <c r="J334">
        <v>330000</v>
      </c>
      <c r="K334">
        <f>50000+7000+8900+2600+70000+50000+16000+5000</f>
        <v>209500</v>
      </c>
      <c r="M334">
        <v>3</v>
      </c>
      <c r="N334">
        <f>221394.73+151230.55+27775</f>
        <v>400400.28</v>
      </c>
    </row>
    <row r="335" spans="1:14" hidden="1" x14ac:dyDescent="0.35">
      <c r="A335" t="s">
        <v>473</v>
      </c>
      <c r="B335">
        <v>165000</v>
      </c>
      <c r="C335">
        <f>442.68</f>
        <v>442.68</v>
      </c>
      <c r="D335">
        <v>265226</v>
      </c>
      <c r="E335">
        <v>198.93</v>
      </c>
      <c r="F335">
        <v>400000</v>
      </c>
      <c r="G335">
        <v>60</v>
      </c>
      <c r="H335">
        <v>220000</v>
      </c>
      <c r="M335">
        <v>1</v>
      </c>
      <c r="N335">
        <f>63142.67+159873.01+173328</f>
        <v>396343.68</v>
      </c>
    </row>
    <row r="336" spans="1:14" hidden="1" x14ac:dyDescent="0.35">
      <c r="A336" t="s">
        <v>474</v>
      </c>
      <c r="B336">
        <f>21941.69+30000+38396.78</f>
        <v>90338.47</v>
      </c>
      <c r="D336">
        <v>4077.69</v>
      </c>
      <c r="E336" t="s">
        <v>475</v>
      </c>
      <c r="F336" t="s">
        <v>476</v>
      </c>
      <c r="G336" t="s">
        <v>477</v>
      </c>
      <c r="H336" t="s">
        <v>478</v>
      </c>
      <c r="K336">
        <v>25000</v>
      </c>
      <c r="M336">
        <v>1</v>
      </c>
      <c r="N336">
        <f>320653.03+15000</f>
        <v>335653.03</v>
      </c>
    </row>
    <row r="337" spans="1:14" hidden="1" x14ac:dyDescent="0.35">
      <c r="A337" t="s">
        <v>479</v>
      </c>
      <c r="B337">
        <v>95000</v>
      </c>
      <c r="D337">
        <v>127000</v>
      </c>
      <c r="E337">
        <v>187.1</v>
      </c>
      <c r="F337">
        <v>350000</v>
      </c>
      <c r="K337">
        <f>450000+750000</f>
        <v>1200000</v>
      </c>
      <c r="M337">
        <v>1</v>
      </c>
      <c r="N337">
        <f>133686.94+78435.67</f>
        <v>212122.61</v>
      </c>
    </row>
    <row r="338" spans="1:14" hidden="1" x14ac:dyDescent="0.35">
      <c r="A338" t="s">
        <v>480</v>
      </c>
      <c r="B338">
        <v>76000</v>
      </c>
      <c r="E338">
        <v>250</v>
      </c>
      <c r="F338">
        <v>370000</v>
      </c>
      <c r="I338">
        <v>4</v>
      </c>
      <c r="J338">
        <v>400000</v>
      </c>
      <c r="M338">
        <v>3</v>
      </c>
    </row>
    <row r="339" spans="1:14" hidden="1" x14ac:dyDescent="0.35">
      <c r="A339" t="s">
        <v>481</v>
      </c>
      <c r="B339">
        <v>200000</v>
      </c>
      <c r="C339">
        <v>4397.66</v>
      </c>
      <c r="E339">
        <v>240</v>
      </c>
      <c r="F339">
        <v>1200000</v>
      </c>
      <c r="G339" t="s">
        <v>482</v>
      </c>
      <c r="H339" t="s">
        <v>483</v>
      </c>
      <c r="J339">
        <f>29000+30000</f>
        <v>59000</v>
      </c>
      <c r="M339">
        <v>1</v>
      </c>
    </row>
    <row r="340" spans="1:14" hidden="1" x14ac:dyDescent="0.35">
      <c r="A340" t="s">
        <v>484</v>
      </c>
      <c r="B340">
        <v>183.8</v>
      </c>
      <c r="E340">
        <v>156</v>
      </c>
      <c r="F340">
        <v>550000</v>
      </c>
      <c r="M340">
        <v>2</v>
      </c>
      <c r="N340">
        <f>366461.75+19484.63+3623.35</f>
        <v>389569.73</v>
      </c>
    </row>
    <row r="341" spans="1:14" hidden="1" x14ac:dyDescent="0.35">
      <c r="A341" t="s">
        <v>485</v>
      </c>
      <c r="B341">
        <v>31000</v>
      </c>
      <c r="G341">
        <v>110</v>
      </c>
      <c r="H341">
        <v>250000</v>
      </c>
      <c r="K341">
        <v>110000</v>
      </c>
      <c r="M341">
        <v>1</v>
      </c>
      <c r="N341">
        <v>35000</v>
      </c>
    </row>
    <row r="342" spans="1:14" hidden="1" x14ac:dyDescent="0.35">
      <c r="A342" t="s">
        <v>486</v>
      </c>
      <c r="B342">
        <v>6000</v>
      </c>
      <c r="M342">
        <v>0</v>
      </c>
      <c r="N342">
        <f>100000*64/120</f>
        <v>53333.333333333336</v>
      </c>
    </row>
    <row r="343" spans="1:14" hidden="1" x14ac:dyDescent="0.35">
      <c r="A343" t="s">
        <v>487</v>
      </c>
      <c r="B343">
        <v>163437</v>
      </c>
      <c r="C343">
        <f>109.57</f>
        <v>109.57</v>
      </c>
      <c r="E343">
        <v>280</v>
      </c>
      <c r="F343">
        <v>1000000</v>
      </c>
      <c r="G343">
        <v>113</v>
      </c>
      <c r="H343">
        <v>860000</v>
      </c>
      <c r="K343">
        <f>37000+80000</f>
        <v>117000</v>
      </c>
      <c r="M343">
        <v>2</v>
      </c>
    </row>
    <row r="344" spans="1:14" hidden="1" x14ac:dyDescent="0.35">
      <c r="A344" t="s">
        <v>488</v>
      </c>
      <c r="B344">
        <v>87673</v>
      </c>
      <c r="E344">
        <v>270</v>
      </c>
      <c r="F344">
        <v>1200000</v>
      </c>
      <c r="G344">
        <v>67</v>
      </c>
      <c r="H344">
        <v>250000</v>
      </c>
      <c r="M344">
        <v>2</v>
      </c>
      <c r="N344">
        <f>105191.28</f>
        <v>105191.28</v>
      </c>
    </row>
    <row r="345" spans="1:14" hidden="1" x14ac:dyDescent="0.35">
      <c r="A345" t="s">
        <v>489</v>
      </c>
      <c r="B345">
        <v>312000</v>
      </c>
      <c r="C345">
        <f>1027664.64+1532.62+17531.8</f>
        <v>1046729.06</v>
      </c>
      <c r="D345">
        <f>649650.7+684517.23+315436+94481+180823</f>
        <v>1924907.93</v>
      </c>
      <c r="E345">
        <v>130</v>
      </c>
      <c r="F345">
        <v>525000</v>
      </c>
      <c r="G345" t="s">
        <v>490</v>
      </c>
      <c r="H345" t="s">
        <v>491</v>
      </c>
      <c r="I345">
        <f>1.1038+0.13</f>
        <v>1.2338</v>
      </c>
      <c r="J345">
        <f>14685+87000</f>
        <v>101685</v>
      </c>
      <c r="K345">
        <f>70000+270000+168360</f>
        <v>508360</v>
      </c>
      <c r="M345">
        <v>3</v>
      </c>
    </row>
    <row r="346" spans="1:14" hidden="1" x14ac:dyDescent="0.35">
      <c r="A346" t="s">
        <v>492</v>
      </c>
      <c r="B346">
        <v>50000</v>
      </c>
      <c r="E346">
        <v>150</v>
      </c>
      <c r="F346">
        <v>300000</v>
      </c>
      <c r="I346">
        <v>3.35</v>
      </c>
      <c r="J346">
        <v>165000</v>
      </c>
      <c r="K346">
        <v>60000</v>
      </c>
      <c r="M346">
        <v>2</v>
      </c>
      <c r="N346">
        <v>25000</v>
      </c>
    </row>
    <row r="347" spans="1:14" hidden="1" x14ac:dyDescent="0.35">
      <c r="A347" t="s">
        <v>493</v>
      </c>
      <c r="B347">
        <v>21400</v>
      </c>
      <c r="D347">
        <f>16000+7600</f>
        <v>23600</v>
      </c>
      <c r="E347">
        <v>207</v>
      </c>
      <c r="F347">
        <v>800000</v>
      </c>
      <c r="G347">
        <v>56.5</v>
      </c>
      <c r="H347">
        <v>400000</v>
      </c>
      <c r="M347">
        <v>1</v>
      </c>
      <c r="N347">
        <v>40000</v>
      </c>
    </row>
    <row r="348" spans="1:14" hidden="1" x14ac:dyDescent="0.35">
      <c r="A348" t="s">
        <v>494</v>
      </c>
      <c r="B348">
        <f>227500+635200</f>
        <v>862700</v>
      </c>
      <c r="E348">
        <v>211.75</v>
      </c>
      <c r="F348">
        <v>950000</v>
      </c>
      <c r="M348">
        <v>0</v>
      </c>
      <c r="N348">
        <f>293123.77+35700</f>
        <v>328823.77</v>
      </c>
    </row>
    <row r="349" spans="1:14" hidden="1" x14ac:dyDescent="0.35">
      <c r="A349" t="s">
        <v>495</v>
      </c>
      <c r="B349">
        <v>687965</v>
      </c>
      <c r="C349">
        <f>514850.73</f>
        <v>514850.73</v>
      </c>
      <c r="D349">
        <f>287351</f>
        <v>287351</v>
      </c>
      <c r="G349">
        <v>94.9</v>
      </c>
      <c r="H349">
        <v>234000</v>
      </c>
      <c r="I349">
        <v>5.34</v>
      </c>
      <c r="J349">
        <v>1400000</v>
      </c>
      <c r="K349">
        <f>70000</f>
        <v>70000</v>
      </c>
      <c r="L349">
        <v>331500</v>
      </c>
      <c r="M349">
        <v>2</v>
      </c>
    </row>
    <row r="350" spans="1:14" hidden="1" x14ac:dyDescent="0.35">
      <c r="A350" t="s">
        <v>496</v>
      </c>
      <c r="B350">
        <v>20000</v>
      </c>
      <c r="G350" t="s">
        <v>497</v>
      </c>
      <c r="H350" t="s">
        <v>498</v>
      </c>
      <c r="M350">
        <v>0</v>
      </c>
      <c r="N350">
        <f>36736.59+173625.69+505621.16+12000</f>
        <v>727983.44</v>
      </c>
    </row>
    <row r="351" spans="1:14" hidden="1" x14ac:dyDescent="0.35">
      <c r="A351" t="s">
        <v>499</v>
      </c>
      <c r="B351">
        <v>2630.84</v>
      </c>
      <c r="G351" t="s">
        <v>500</v>
      </c>
      <c r="H351" t="s">
        <v>501</v>
      </c>
      <c r="M351">
        <v>1</v>
      </c>
      <c r="N351">
        <v>230000</v>
      </c>
    </row>
    <row r="352" spans="1:14" hidden="1" x14ac:dyDescent="0.35">
      <c r="A352" t="s">
        <v>502</v>
      </c>
      <c r="B352">
        <v>111517.12</v>
      </c>
      <c r="E352">
        <v>360</v>
      </c>
      <c r="F352">
        <v>1200000</v>
      </c>
      <c r="K352">
        <v>400000</v>
      </c>
      <c r="M352">
        <v>0</v>
      </c>
      <c r="N352">
        <f>250000+142435</f>
        <v>392435</v>
      </c>
    </row>
    <row r="353" spans="1:14" hidden="1" x14ac:dyDescent="0.35">
      <c r="A353" t="s">
        <v>503</v>
      </c>
      <c r="B353">
        <v>160000</v>
      </c>
      <c r="D353">
        <v>12300</v>
      </c>
      <c r="E353">
        <v>140</v>
      </c>
      <c r="F353">
        <v>500000</v>
      </c>
      <c r="K353">
        <v>150000</v>
      </c>
      <c r="M353">
        <v>1</v>
      </c>
    </row>
    <row r="354" spans="1:14" hidden="1" x14ac:dyDescent="0.35">
      <c r="A354" t="s">
        <v>504</v>
      </c>
      <c r="B354">
        <v>55974.7</v>
      </c>
      <c r="E354">
        <v>125</v>
      </c>
      <c r="F354">
        <v>450000</v>
      </c>
      <c r="K354">
        <v>100000</v>
      </c>
      <c r="M354">
        <v>1</v>
      </c>
      <c r="N354">
        <f>27000+17850</f>
        <v>44850</v>
      </c>
    </row>
    <row r="355" spans="1:14" hidden="1" x14ac:dyDescent="0.35">
      <c r="A355" t="s">
        <v>505</v>
      </c>
      <c r="B355">
        <v>10000</v>
      </c>
      <c r="E355">
        <v>162.80000000000001</v>
      </c>
      <c r="F355">
        <v>420000</v>
      </c>
      <c r="K355">
        <f>10000</f>
        <v>10000</v>
      </c>
      <c r="M355">
        <v>3</v>
      </c>
      <c r="N355">
        <f>104289.79</f>
        <v>104289.79</v>
      </c>
    </row>
    <row r="356" spans="1:14" hidden="1" x14ac:dyDescent="0.35">
      <c r="A356" t="s">
        <v>506</v>
      </c>
      <c r="B356">
        <v>147651.70000000001</v>
      </c>
      <c r="C356">
        <f>6683.71</f>
        <v>6683.71</v>
      </c>
      <c r="E356" t="s">
        <v>507</v>
      </c>
      <c r="F356" t="s">
        <v>508</v>
      </c>
      <c r="G356">
        <v>86</v>
      </c>
      <c r="H356">
        <v>300000</v>
      </c>
      <c r="K356">
        <f>217000</f>
        <v>217000</v>
      </c>
      <c r="M356">
        <v>1</v>
      </c>
      <c r="N356">
        <f>58963.29+111845.8</f>
        <v>170809.09</v>
      </c>
    </row>
    <row r="357" spans="1:14" hidden="1" x14ac:dyDescent="0.35">
      <c r="A357" t="s">
        <v>509</v>
      </c>
      <c r="B357">
        <v>10000</v>
      </c>
      <c r="M357">
        <v>1</v>
      </c>
      <c r="N357">
        <f>22100.15</f>
        <v>22100.15</v>
      </c>
    </row>
    <row r="358" spans="1:14" hidden="1" x14ac:dyDescent="0.35">
      <c r="A358" t="s">
        <v>510</v>
      </c>
      <c r="B358">
        <v>60000</v>
      </c>
      <c r="E358">
        <v>147.5</v>
      </c>
      <c r="F358">
        <v>650000</v>
      </c>
      <c r="G358">
        <v>28</v>
      </c>
      <c r="H358">
        <v>200000</v>
      </c>
      <c r="M358">
        <v>1</v>
      </c>
      <c r="N358">
        <f>73647.1+2752+30000+13861.88+80000</f>
        <v>200260.98</v>
      </c>
    </row>
    <row r="359" spans="1:14" hidden="1" x14ac:dyDescent="0.35">
      <c r="A359" t="s">
        <v>511</v>
      </c>
      <c r="B359">
        <v>846942.14</v>
      </c>
      <c r="C359">
        <f>2777.47</f>
        <v>2777.47</v>
      </c>
      <c r="E359" t="s">
        <v>512</v>
      </c>
      <c r="F359" t="s">
        <v>513</v>
      </c>
      <c r="G359" t="s">
        <v>514</v>
      </c>
      <c r="H359" t="s">
        <v>515</v>
      </c>
      <c r="I359">
        <v>11.45</v>
      </c>
      <c r="J359">
        <v>250000</v>
      </c>
      <c r="K359">
        <f>350000</f>
        <v>350000</v>
      </c>
      <c r="M359">
        <v>2</v>
      </c>
      <c r="N359">
        <v>10110</v>
      </c>
    </row>
    <row r="360" spans="1:14" hidden="1" x14ac:dyDescent="0.35">
      <c r="A360" t="s">
        <v>516</v>
      </c>
      <c r="B360">
        <v>50000</v>
      </c>
      <c r="C360">
        <f>254601.6</f>
        <v>254601.60000000001</v>
      </c>
      <c r="D360">
        <f>50812+46291.2</f>
        <v>97103.2</v>
      </c>
      <c r="G360">
        <v>17</v>
      </c>
      <c r="H360">
        <v>200000</v>
      </c>
      <c r="K360">
        <f>90000+8000+4500+5000+3500+18000+10000</f>
        <v>139000</v>
      </c>
      <c r="M360">
        <v>1</v>
      </c>
      <c r="N360">
        <f>36000+15000+20140</f>
        <v>71140</v>
      </c>
    </row>
    <row r="361" spans="1:14" hidden="1" x14ac:dyDescent="0.35">
      <c r="A361" t="s">
        <v>517</v>
      </c>
      <c r="B361">
        <v>3627.01</v>
      </c>
      <c r="D361">
        <v>1898131.78</v>
      </c>
      <c r="E361">
        <v>116.28</v>
      </c>
      <c r="F361">
        <v>540000</v>
      </c>
      <c r="K361">
        <f>971224.46</f>
        <v>971224.46</v>
      </c>
      <c r="M361">
        <v>0</v>
      </c>
      <c r="N361">
        <f>44249+20000+250000+5700000+600000+18000000</f>
        <v>24614249</v>
      </c>
    </row>
    <row r="362" spans="1:14" hidden="1" x14ac:dyDescent="0.35">
      <c r="A362" t="s">
        <v>518</v>
      </c>
      <c r="B362">
        <v>350000</v>
      </c>
      <c r="C362">
        <f>162019.2</f>
        <v>162019.20000000001</v>
      </c>
      <c r="G362">
        <v>54</v>
      </c>
      <c r="H362">
        <v>200000</v>
      </c>
      <c r="M362">
        <v>1</v>
      </c>
    </row>
    <row r="363" spans="1:14" hidden="1" x14ac:dyDescent="0.35">
      <c r="A363" t="s">
        <v>519</v>
      </c>
      <c r="B363">
        <v>21000</v>
      </c>
      <c r="C363">
        <v>231.46</v>
      </c>
      <c r="E363" t="s">
        <v>520</v>
      </c>
      <c r="F363" t="s">
        <v>521</v>
      </c>
      <c r="K363">
        <f>70000+40000+160000+60000+30000</f>
        <v>360000</v>
      </c>
      <c r="M363">
        <v>2</v>
      </c>
      <c r="N363">
        <f>171038.88+40000+17850</f>
        <v>228888.88</v>
      </c>
    </row>
    <row r="364" spans="1:14" hidden="1" x14ac:dyDescent="0.35">
      <c r="A364" t="s">
        <v>522</v>
      </c>
      <c r="B364">
        <f>22500+30000+84000</f>
        <v>136500</v>
      </c>
      <c r="E364">
        <v>130</v>
      </c>
      <c r="F364">
        <v>530000</v>
      </c>
      <c r="G364">
        <v>55.8</v>
      </c>
      <c r="H364">
        <v>260000</v>
      </c>
      <c r="M364">
        <v>3</v>
      </c>
      <c r="N364">
        <f>10000+96000+25000</f>
        <v>131000</v>
      </c>
    </row>
    <row r="365" spans="1:14" hidden="1" x14ac:dyDescent="0.35">
      <c r="A365" t="s">
        <v>523</v>
      </c>
      <c r="B365">
        <v>26700</v>
      </c>
      <c r="E365">
        <v>180</v>
      </c>
      <c r="F365">
        <v>350000</v>
      </c>
      <c r="K365">
        <f>120000</f>
        <v>120000</v>
      </c>
      <c r="M365">
        <v>0</v>
      </c>
      <c r="N365">
        <f>140866.48+10110</f>
        <v>150976.48000000001</v>
      </c>
    </row>
    <row r="366" spans="1:14" hidden="1" x14ac:dyDescent="0.35">
      <c r="A366" t="s">
        <v>524</v>
      </c>
      <c r="B366">
        <v>235000</v>
      </c>
      <c r="C366">
        <f>925.82+3506.36</f>
        <v>4432.18</v>
      </c>
      <c r="E366">
        <v>208.67</v>
      </c>
      <c r="F366">
        <v>550000</v>
      </c>
      <c r="G366" t="s">
        <v>525</v>
      </c>
      <c r="H366" t="s">
        <v>526</v>
      </c>
      <c r="M366">
        <v>0</v>
      </c>
      <c r="N366">
        <f>244735.37+109663.85+439997.86+358650+12000</f>
        <v>1165047.08</v>
      </c>
    </row>
    <row r="367" spans="1:14" hidden="1" x14ac:dyDescent="0.35">
      <c r="A367" t="s">
        <v>527</v>
      </c>
      <c r="B367">
        <v>15000</v>
      </c>
      <c r="E367">
        <v>167</v>
      </c>
      <c r="F367">
        <v>870000</v>
      </c>
      <c r="M367">
        <v>0</v>
      </c>
      <c r="N367">
        <f>3000+50000+503000+17850</f>
        <v>573850</v>
      </c>
    </row>
    <row r="368" spans="1:14" hidden="1" x14ac:dyDescent="0.35">
      <c r="A368" t="s">
        <v>528</v>
      </c>
      <c r="B368">
        <v>84000</v>
      </c>
      <c r="E368">
        <v>240</v>
      </c>
      <c r="F368">
        <v>855000</v>
      </c>
      <c r="G368">
        <v>61.6</v>
      </c>
      <c r="H368">
        <v>250000</v>
      </c>
      <c r="K368">
        <f>127000</f>
        <v>127000</v>
      </c>
      <c r="M368">
        <v>2</v>
      </c>
      <c r="N368">
        <f>679000</f>
        <v>679000</v>
      </c>
    </row>
    <row r="369" spans="1:14" hidden="1" x14ac:dyDescent="0.35">
      <c r="A369" t="s">
        <v>529</v>
      </c>
      <c r="B369">
        <v>9070.76</v>
      </c>
      <c r="M369">
        <v>0</v>
      </c>
    </row>
    <row r="370" spans="1:14" hidden="1" x14ac:dyDescent="0.35">
      <c r="A370" t="s">
        <v>530</v>
      </c>
      <c r="B370">
        <f>9000+47000+84000</f>
        <v>140000</v>
      </c>
      <c r="C370">
        <f>69263.76</f>
        <v>69263.759999999995</v>
      </c>
      <c r="E370">
        <v>102</v>
      </c>
      <c r="F370">
        <v>350000</v>
      </c>
      <c r="G370">
        <v>74</v>
      </c>
      <c r="K370">
        <f>75000+40000+50000+7000+8000</f>
        <v>180000</v>
      </c>
      <c r="M370">
        <v>1</v>
      </c>
    </row>
    <row r="371" spans="1:14" hidden="1" x14ac:dyDescent="0.35">
      <c r="A371" t="s">
        <v>531</v>
      </c>
      <c r="B371">
        <v>211000</v>
      </c>
      <c r="C371">
        <f>7267.72+1354.33+82.1+1024.09+90.3+170.15+45.26+17.49+92.4+15.42</f>
        <v>10159.259999999998</v>
      </c>
      <c r="D371">
        <f>59989.62+473.9+149.32+30.6</f>
        <v>60643.44</v>
      </c>
      <c r="E371">
        <v>140</v>
      </c>
      <c r="F371">
        <v>600000</v>
      </c>
      <c r="K371">
        <v>115000</v>
      </c>
      <c r="M371">
        <v>2</v>
      </c>
      <c r="N371">
        <f>289961.93+23037.95</f>
        <v>312999.88</v>
      </c>
    </row>
    <row r="372" spans="1:14" hidden="1" x14ac:dyDescent="0.35">
      <c r="A372" t="s">
        <v>532</v>
      </c>
      <c r="B372">
        <v>96970.27</v>
      </c>
      <c r="C372">
        <f>5832.69+1038.76+268.21</f>
        <v>7139.66</v>
      </c>
      <c r="D372">
        <v>70608.69</v>
      </c>
      <c r="E372">
        <v>100</v>
      </c>
      <c r="F372">
        <v>350000</v>
      </c>
      <c r="M372">
        <v>2</v>
      </c>
    </row>
    <row r="373" spans="1:14" hidden="1" x14ac:dyDescent="0.35">
      <c r="A373" t="s">
        <v>533</v>
      </c>
      <c r="B373">
        <v>130000</v>
      </c>
      <c r="C373">
        <f>55131.42+47175.92</f>
        <v>102307.34</v>
      </c>
      <c r="E373">
        <v>182</v>
      </c>
      <c r="F373">
        <v>700000</v>
      </c>
      <c r="G373">
        <v>33.200000000000003</v>
      </c>
      <c r="H373">
        <v>127430</v>
      </c>
      <c r="M373">
        <v>1</v>
      </c>
      <c r="N373">
        <f>95418.53</f>
        <v>95418.53</v>
      </c>
    </row>
    <row r="374" spans="1:14" hidden="1" x14ac:dyDescent="0.35">
      <c r="A374" t="s">
        <v>534</v>
      </c>
      <c r="B374">
        <f>250000+17000</f>
        <v>267000</v>
      </c>
      <c r="C374">
        <f>1378.29+10721.8</f>
        <v>12100.09</v>
      </c>
      <c r="D374">
        <v>901700</v>
      </c>
      <c r="E374">
        <v>165</v>
      </c>
      <c r="F374">
        <v>600000</v>
      </c>
      <c r="M374">
        <v>2</v>
      </c>
    </row>
    <row r="375" spans="1:14" hidden="1" x14ac:dyDescent="0.35">
      <c r="A375" t="s">
        <v>535</v>
      </c>
      <c r="B375">
        <v>298695</v>
      </c>
      <c r="E375">
        <v>203.04</v>
      </c>
      <c r="F375">
        <v>600000</v>
      </c>
      <c r="K375">
        <v>300000</v>
      </c>
      <c r="M375">
        <v>2</v>
      </c>
      <c r="N375">
        <f>163903.96+26775</f>
        <v>190678.96</v>
      </c>
    </row>
    <row r="376" spans="1:14" hidden="1" x14ac:dyDescent="0.35">
      <c r="A376" t="s">
        <v>536</v>
      </c>
      <c r="B376">
        <f>218000+372201.75</f>
        <v>590201.75</v>
      </c>
      <c r="C376">
        <f>13323.43+5146.46</f>
        <v>18469.89</v>
      </c>
      <c r="G376">
        <v>51.01</v>
      </c>
      <c r="H376">
        <v>500000</v>
      </c>
      <c r="M376">
        <v>1</v>
      </c>
      <c r="N376">
        <f>221737.15+23800+300000</f>
        <v>545537.15</v>
      </c>
    </row>
    <row r="377" spans="1:14" hidden="1" x14ac:dyDescent="0.35">
      <c r="A377" t="s">
        <v>537</v>
      </c>
      <c r="B377">
        <v>290000</v>
      </c>
      <c r="C377">
        <f>6891.43</f>
        <v>6891.43</v>
      </c>
      <c r="D377">
        <f>2241+1115.82+20075.95+3014.41</f>
        <v>26447.18</v>
      </c>
      <c r="G377">
        <v>64</v>
      </c>
      <c r="H377">
        <v>350000</v>
      </c>
      <c r="M377">
        <v>1</v>
      </c>
      <c r="N377">
        <f>15000+10000+20163+132964.12+676232+270080</f>
        <v>1124439.1200000001</v>
      </c>
    </row>
    <row r="378" spans="1:14" hidden="1" x14ac:dyDescent="0.35">
      <c r="A378" t="s">
        <v>538</v>
      </c>
      <c r="B378">
        <v>156600</v>
      </c>
      <c r="C378">
        <f>4592+857.74+4454.19</f>
        <v>9903.93</v>
      </c>
      <c r="D378">
        <v>45615.87</v>
      </c>
      <c r="E378">
        <v>87.5</v>
      </c>
      <c r="F378">
        <v>350000</v>
      </c>
      <c r="K378">
        <v>109000</v>
      </c>
      <c r="M378">
        <v>1</v>
      </c>
    </row>
    <row r="379" spans="1:14" hidden="1" x14ac:dyDescent="0.35">
      <c r="A379" t="s">
        <v>539</v>
      </c>
      <c r="B379">
        <v>3000</v>
      </c>
      <c r="G379">
        <v>86.4</v>
      </c>
      <c r="H379">
        <v>870000</v>
      </c>
      <c r="K379">
        <f>30000</f>
        <v>30000</v>
      </c>
      <c r="M379">
        <v>1</v>
      </c>
      <c r="N379">
        <f>712684.68+20000</f>
        <v>732684.68</v>
      </c>
    </row>
    <row r="380" spans="1:14" hidden="1" x14ac:dyDescent="0.35">
      <c r="A380" t="s">
        <v>540</v>
      </c>
      <c r="B380">
        <v>294900</v>
      </c>
      <c r="E380">
        <v>185</v>
      </c>
      <c r="F380">
        <v>1950000</v>
      </c>
      <c r="M380">
        <v>2</v>
      </c>
    </row>
    <row r="381" spans="1:14" hidden="1" x14ac:dyDescent="0.35">
      <c r="A381" t="s">
        <v>541</v>
      </c>
      <c r="B381">
        <v>35000</v>
      </c>
      <c r="C381">
        <f>219153.59+8265.6</f>
        <v>227419.19</v>
      </c>
      <c r="D381">
        <f>13091.69</f>
        <v>13091.69</v>
      </c>
      <c r="E381" t="s">
        <v>542</v>
      </c>
      <c r="F381" t="s">
        <v>543</v>
      </c>
      <c r="G381">
        <v>34.14</v>
      </c>
      <c r="H381">
        <v>340000</v>
      </c>
      <c r="K381">
        <f>740000+6000+34000+24700+80000</f>
        <v>884700</v>
      </c>
      <c r="M381">
        <v>1</v>
      </c>
      <c r="N381">
        <f>56414.38</f>
        <v>56414.38</v>
      </c>
    </row>
    <row r="382" spans="1:14" hidden="1" x14ac:dyDescent="0.35">
      <c r="A382" t="s">
        <v>544</v>
      </c>
      <c r="B382">
        <v>360000</v>
      </c>
      <c r="D382">
        <v>15000</v>
      </c>
      <c r="E382">
        <v>198</v>
      </c>
      <c r="F382">
        <v>350000</v>
      </c>
      <c r="G382">
        <v>145</v>
      </c>
      <c r="H382">
        <v>280000</v>
      </c>
      <c r="K382">
        <v>70000</v>
      </c>
      <c r="M382">
        <v>2</v>
      </c>
    </row>
    <row r="383" spans="1:14" hidden="1" x14ac:dyDescent="0.35">
      <c r="A383" t="s">
        <v>545</v>
      </c>
      <c r="B383">
        <v>45000</v>
      </c>
      <c r="C383">
        <f>45920+21443.6</f>
        <v>67363.600000000006</v>
      </c>
      <c r="D383">
        <f>16700+3014</f>
        <v>19714</v>
      </c>
      <c r="E383">
        <v>106.47</v>
      </c>
      <c r="F383">
        <v>270000</v>
      </c>
      <c r="G383" t="s">
        <v>546</v>
      </c>
      <c r="H383" t="s">
        <v>547</v>
      </c>
      <c r="M383">
        <v>1</v>
      </c>
      <c r="N383">
        <v>121313.87</v>
      </c>
    </row>
    <row r="384" spans="1:14" hidden="1" x14ac:dyDescent="0.35">
      <c r="A384" t="s">
        <v>548</v>
      </c>
      <c r="B384">
        <v>22000</v>
      </c>
      <c r="C384">
        <f>762.27</f>
        <v>762.27</v>
      </c>
      <c r="D384">
        <f>26000+57000+140000+105000+64000+39000+65000+35000+70000+65000</f>
        <v>666000</v>
      </c>
      <c r="E384">
        <v>269</v>
      </c>
      <c r="F384">
        <v>600000</v>
      </c>
      <c r="G384" t="s">
        <v>549</v>
      </c>
      <c r="H384">
        <v>180000</v>
      </c>
      <c r="M384">
        <v>2</v>
      </c>
    </row>
    <row r="385" spans="1:14" hidden="1" x14ac:dyDescent="0.35">
      <c r="A385" t="s">
        <v>550</v>
      </c>
      <c r="B385">
        <v>10000</v>
      </c>
      <c r="E385">
        <v>120</v>
      </c>
      <c r="F385">
        <v>300000</v>
      </c>
      <c r="G385">
        <v>46.54</v>
      </c>
      <c r="H385">
        <v>226000</v>
      </c>
      <c r="M385">
        <v>1</v>
      </c>
      <c r="N385">
        <f>230000</f>
        <v>230000</v>
      </c>
    </row>
    <row r="386" spans="1:14" hidden="1" x14ac:dyDescent="0.35">
      <c r="A386" t="s">
        <v>551</v>
      </c>
      <c r="B386">
        <v>136000</v>
      </c>
      <c r="C386">
        <f>111.51</f>
        <v>111.51</v>
      </c>
      <c r="D386">
        <v>146000</v>
      </c>
      <c r="E386">
        <v>169</v>
      </c>
      <c r="F386">
        <v>500000</v>
      </c>
      <c r="I386">
        <v>0.40500000000000003</v>
      </c>
      <c r="J386">
        <v>10000</v>
      </c>
      <c r="K386">
        <v>80000</v>
      </c>
      <c r="M386">
        <v>1</v>
      </c>
    </row>
    <row r="387" spans="1:14" hidden="1" x14ac:dyDescent="0.35">
      <c r="A387" t="s">
        <v>552</v>
      </c>
      <c r="B387">
        <f>27229.67+27529.46</f>
        <v>54759.13</v>
      </c>
      <c r="D387">
        <v>6518.5</v>
      </c>
      <c r="E387">
        <v>173.6</v>
      </c>
      <c r="F387">
        <v>416000</v>
      </c>
      <c r="G387">
        <v>58.2</v>
      </c>
      <c r="H387">
        <v>160000</v>
      </c>
      <c r="K387">
        <v>200000</v>
      </c>
      <c r="M387">
        <v>1</v>
      </c>
      <c r="N387">
        <f>34042.86+17850</f>
        <v>51892.86</v>
      </c>
    </row>
    <row r="388" spans="1:14" x14ac:dyDescent="0.35">
      <c r="A388" s="2" t="s">
        <v>553</v>
      </c>
    </row>
    <row r="389" spans="1:14" hidden="1" x14ac:dyDescent="0.35">
      <c r="A389" t="s">
        <v>554</v>
      </c>
      <c r="B389">
        <v>190000</v>
      </c>
      <c r="D389">
        <v>61000</v>
      </c>
      <c r="E389">
        <v>223</v>
      </c>
      <c r="F389">
        <v>500000</v>
      </c>
      <c r="G389">
        <v>48.53</v>
      </c>
      <c r="H389">
        <v>150000</v>
      </c>
      <c r="M389">
        <v>1</v>
      </c>
    </row>
    <row r="390" spans="1:14" hidden="1" x14ac:dyDescent="0.35">
      <c r="A390" t="s">
        <v>555</v>
      </c>
      <c r="E390">
        <v>220</v>
      </c>
      <c r="F390">
        <v>700000</v>
      </c>
      <c r="M390">
        <v>1</v>
      </c>
      <c r="N390">
        <f>29548.93+10841.86+30000+13506.15+25000</f>
        <v>108896.94</v>
      </c>
    </row>
    <row r="391" spans="1:14" hidden="1" x14ac:dyDescent="0.35">
      <c r="A391" t="s">
        <v>556</v>
      </c>
      <c r="B391">
        <v>50000</v>
      </c>
      <c r="E391">
        <v>160</v>
      </c>
      <c r="F391">
        <v>390000</v>
      </c>
      <c r="G391">
        <v>38</v>
      </c>
      <c r="H391">
        <v>102000</v>
      </c>
      <c r="K391">
        <v>60000</v>
      </c>
      <c r="M391">
        <v>2</v>
      </c>
      <c r="N391">
        <f>34211.8+27200</f>
        <v>61411.8</v>
      </c>
    </row>
    <row r="392" spans="1:14" hidden="1" x14ac:dyDescent="0.35">
      <c r="A392" t="s">
        <v>557</v>
      </c>
      <c r="B392">
        <v>60000</v>
      </c>
      <c r="C392">
        <f>1561.28</f>
        <v>1561.28</v>
      </c>
      <c r="G392">
        <v>48.27</v>
      </c>
      <c r="H392">
        <v>260000</v>
      </c>
      <c r="K392">
        <v>80000</v>
      </c>
      <c r="M392">
        <v>1</v>
      </c>
      <c r="N392">
        <f>161000</f>
        <v>161000</v>
      </c>
    </row>
    <row r="393" spans="1:14" hidden="1" x14ac:dyDescent="0.35">
      <c r="A393" t="s">
        <v>558</v>
      </c>
      <c r="B393">
        <v>5000</v>
      </c>
      <c r="E393">
        <v>123</v>
      </c>
      <c r="F393">
        <v>350000</v>
      </c>
      <c r="M393">
        <v>0</v>
      </c>
      <c r="N393">
        <v>200438.63</v>
      </c>
    </row>
    <row r="394" spans="1:14" hidden="1" x14ac:dyDescent="0.35">
      <c r="A394" t="s">
        <v>559</v>
      </c>
      <c r="B394">
        <v>59663.14</v>
      </c>
      <c r="G394" t="s">
        <v>560</v>
      </c>
      <c r="H394" t="s">
        <v>561</v>
      </c>
      <c r="M394">
        <v>1</v>
      </c>
    </row>
    <row r="395" spans="1:14" hidden="1" x14ac:dyDescent="0.35">
      <c r="A395" t="s">
        <v>562</v>
      </c>
      <c r="B395">
        <v>39360.89</v>
      </c>
      <c r="C395">
        <f>2242.37+2787.67</f>
        <v>5030.04</v>
      </c>
      <c r="G395" t="s">
        <v>563</v>
      </c>
      <c r="H395" t="s">
        <v>564</v>
      </c>
      <c r="I395">
        <v>2.97</v>
      </c>
      <c r="J395">
        <v>38610</v>
      </c>
      <c r="M395">
        <v>0</v>
      </c>
      <c r="N395">
        <f>95020.87</f>
        <v>95020.87</v>
      </c>
    </row>
    <row r="396" spans="1:14" hidden="1" x14ac:dyDescent="0.35">
      <c r="A396" t="s">
        <v>565</v>
      </c>
      <c r="B396">
        <v>37756</v>
      </c>
      <c r="G396" t="s">
        <v>566</v>
      </c>
      <c r="H396" t="s">
        <v>567</v>
      </c>
      <c r="M396">
        <v>1</v>
      </c>
      <c r="N396">
        <v>22725</v>
      </c>
    </row>
    <row r="397" spans="1:14" hidden="1" x14ac:dyDescent="0.35">
      <c r="A397" t="s">
        <v>568</v>
      </c>
      <c r="B397">
        <v>45000</v>
      </c>
      <c r="G397">
        <v>58</v>
      </c>
      <c r="H397">
        <v>250000</v>
      </c>
      <c r="K397">
        <v>25000</v>
      </c>
      <c r="M397">
        <v>1</v>
      </c>
    </row>
    <row r="398" spans="1:14" hidden="1" x14ac:dyDescent="0.35">
      <c r="A398" t="s">
        <v>569</v>
      </c>
      <c r="B398">
        <f>40304.77+2428.39</f>
        <v>42733.159999999996</v>
      </c>
      <c r="D398">
        <v>399278.66</v>
      </c>
      <c r="G398">
        <v>63</v>
      </c>
      <c r="H398">
        <v>380000</v>
      </c>
      <c r="M398">
        <v>1</v>
      </c>
      <c r="N398">
        <v>16173.62</v>
      </c>
    </row>
    <row r="399" spans="1:14" x14ac:dyDescent="0.35">
      <c r="A399" s="2" t="s">
        <v>570</v>
      </c>
    </row>
    <row r="400" spans="1:14" hidden="1" x14ac:dyDescent="0.35">
      <c r="A400" t="s">
        <v>571</v>
      </c>
      <c r="B400">
        <v>467192.37</v>
      </c>
      <c r="C400">
        <f>1607.2</f>
        <v>1607.2</v>
      </c>
      <c r="D400">
        <f>70000</f>
        <v>70000</v>
      </c>
      <c r="E400">
        <v>131.75</v>
      </c>
      <c r="F400">
        <v>380000</v>
      </c>
      <c r="M400">
        <v>1</v>
      </c>
    </row>
    <row r="401" spans="1:14" hidden="1" x14ac:dyDescent="0.35">
      <c r="A401" t="s">
        <v>572</v>
      </c>
      <c r="B401">
        <v>240000</v>
      </c>
      <c r="E401">
        <v>190</v>
      </c>
      <c r="F401">
        <v>210000</v>
      </c>
      <c r="G401">
        <v>100</v>
      </c>
      <c r="H401">
        <v>110000</v>
      </c>
      <c r="I401">
        <v>13</v>
      </c>
      <c r="J401">
        <v>650000</v>
      </c>
      <c r="K401">
        <f>180000+310000</f>
        <v>490000</v>
      </c>
      <c r="M401">
        <v>2</v>
      </c>
      <c r="N401">
        <f>130000+70000</f>
        <v>200000</v>
      </c>
    </row>
    <row r="402" spans="1:14" hidden="1" x14ac:dyDescent="0.35">
      <c r="A402" t="s">
        <v>573</v>
      </c>
      <c r="B402">
        <v>52000</v>
      </c>
      <c r="C402">
        <f>4132.8</f>
        <v>4132.8</v>
      </c>
      <c r="G402">
        <v>37.299999999999997</v>
      </c>
      <c r="H402">
        <v>250000</v>
      </c>
      <c r="M402">
        <v>1</v>
      </c>
    </row>
    <row r="403" spans="1:14" hidden="1" x14ac:dyDescent="0.35">
      <c r="A403" t="s">
        <v>574</v>
      </c>
      <c r="B403">
        <v>98000</v>
      </c>
      <c r="C403">
        <f>11975.94+7350.87</f>
        <v>19326.810000000001</v>
      </c>
      <c r="D403">
        <v>13585</v>
      </c>
      <c r="E403">
        <v>146.4</v>
      </c>
      <c r="F403">
        <v>729313</v>
      </c>
      <c r="G403">
        <v>122</v>
      </c>
      <c r="H403">
        <v>500000</v>
      </c>
      <c r="K403">
        <v>40000</v>
      </c>
      <c r="M403">
        <v>1</v>
      </c>
      <c r="N403">
        <v>40000</v>
      </c>
    </row>
    <row r="404" spans="1:14" hidden="1" x14ac:dyDescent="0.35">
      <c r="A404" t="s">
        <v>575</v>
      </c>
      <c r="B404">
        <v>160015.51999999999</v>
      </c>
      <c r="C404">
        <v>4517.28</v>
      </c>
      <c r="D404">
        <v>1163.58</v>
      </c>
      <c r="G404" t="s">
        <v>576</v>
      </c>
      <c r="H404" t="s">
        <v>577</v>
      </c>
      <c r="K404">
        <v>170000</v>
      </c>
      <c r="M404">
        <v>1</v>
      </c>
    </row>
    <row r="405" spans="1:14" hidden="1" x14ac:dyDescent="0.35">
      <c r="A405" t="s">
        <v>578</v>
      </c>
      <c r="B405">
        <v>22122.04</v>
      </c>
      <c r="M405">
        <v>2</v>
      </c>
      <c r="N405">
        <v>511470.11</v>
      </c>
    </row>
    <row r="406" spans="1:14" hidden="1" x14ac:dyDescent="0.35">
      <c r="A406" t="s">
        <v>579</v>
      </c>
      <c r="B406">
        <v>170000</v>
      </c>
      <c r="D406">
        <v>10000</v>
      </c>
      <c r="G406">
        <v>60</v>
      </c>
      <c r="H406">
        <v>600000</v>
      </c>
      <c r="K406">
        <v>30000</v>
      </c>
      <c r="M406">
        <v>2</v>
      </c>
      <c r="N406">
        <v>265500</v>
      </c>
    </row>
    <row r="407" spans="1:14" x14ac:dyDescent="0.35">
      <c r="A407" t="s">
        <v>580</v>
      </c>
      <c r="B407">
        <f>37179.14+837.8</f>
        <v>38016.94</v>
      </c>
      <c r="C407">
        <f>1089.07+9</f>
        <v>1098.07</v>
      </c>
      <c r="D407">
        <v>60</v>
      </c>
      <c r="G407">
        <v>76.56</v>
      </c>
      <c r="H407">
        <v>397020</v>
      </c>
      <c r="N407">
        <v>264680</v>
      </c>
    </row>
    <row r="408" spans="1:14" hidden="1" x14ac:dyDescent="0.35">
      <c r="A408" t="s">
        <v>581</v>
      </c>
      <c r="B408">
        <v>91000</v>
      </c>
      <c r="D408">
        <v>65000</v>
      </c>
      <c r="G408">
        <v>66</v>
      </c>
      <c r="H408">
        <v>400000</v>
      </c>
      <c r="K408">
        <f>211878/6+204996/6+800000</f>
        <v>869479</v>
      </c>
      <c r="M408">
        <v>1</v>
      </c>
      <c r="N408">
        <f>37650.35+1220473.87</f>
        <v>1258124.2200000002</v>
      </c>
    </row>
    <row r="409" spans="1:14" hidden="1" x14ac:dyDescent="0.35">
      <c r="A409" t="s">
        <v>582</v>
      </c>
      <c r="B409">
        <v>83000</v>
      </c>
      <c r="E409">
        <v>112.5</v>
      </c>
      <c r="F409">
        <v>300000</v>
      </c>
      <c r="I409">
        <v>3.6</v>
      </c>
      <c r="J409">
        <v>100000</v>
      </c>
      <c r="M409">
        <v>2</v>
      </c>
    </row>
    <row r="410" spans="1:14" hidden="1" x14ac:dyDescent="0.35">
      <c r="A410" t="s">
        <v>583</v>
      </c>
      <c r="B410">
        <f>14385.65+25987.38</f>
        <v>40373.03</v>
      </c>
      <c r="C410">
        <f>49914.91+540.02</f>
        <v>50454.93</v>
      </c>
      <c r="D410">
        <f>7425.96+2547.47</f>
        <v>9973.43</v>
      </c>
      <c r="E410">
        <v>122.81</v>
      </c>
      <c r="F410">
        <v>600000</v>
      </c>
      <c r="I410">
        <v>1.0891</v>
      </c>
      <c r="J410">
        <v>135160</v>
      </c>
      <c r="K410">
        <f>200000</f>
        <v>200000</v>
      </c>
      <c r="M410">
        <v>1</v>
      </c>
    </row>
    <row r="411" spans="1:14" hidden="1" x14ac:dyDescent="0.35">
      <c r="A411" t="s">
        <v>584</v>
      </c>
      <c r="B411">
        <v>4700</v>
      </c>
      <c r="G411">
        <v>43.4</v>
      </c>
      <c r="H411">
        <v>340000</v>
      </c>
      <c r="I411">
        <v>0.14000000000000001</v>
      </c>
      <c r="J411">
        <v>80000</v>
      </c>
      <c r="M411">
        <v>1</v>
      </c>
      <c r="N411">
        <f>19000+228000</f>
        <v>247000</v>
      </c>
    </row>
    <row r="412" spans="1:14" hidden="1" x14ac:dyDescent="0.35">
      <c r="A412" t="s">
        <v>585</v>
      </c>
      <c r="G412">
        <v>83.56</v>
      </c>
      <c r="H412">
        <v>505000</v>
      </c>
      <c r="M412">
        <v>2</v>
      </c>
      <c r="N412">
        <f>90000+40000+13500+8632</f>
        <v>152132</v>
      </c>
    </row>
    <row r="413" spans="1:14" hidden="1" x14ac:dyDescent="0.35">
      <c r="A413" t="s">
        <v>586</v>
      </c>
      <c r="B413">
        <v>380000</v>
      </c>
      <c r="C413">
        <f>44156.92+1050.33+267.89</f>
        <v>45475.14</v>
      </c>
      <c r="D413">
        <v>132214.5</v>
      </c>
      <c r="L413">
        <v>91396.5</v>
      </c>
      <c r="M413">
        <v>1</v>
      </c>
    </row>
    <row r="414" spans="1:14" hidden="1" x14ac:dyDescent="0.35">
      <c r="A414" t="s">
        <v>587</v>
      </c>
      <c r="E414">
        <v>182</v>
      </c>
      <c r="F414">
        <v>670000</v>
      </c>
      <c r="M414">
        <v>1</v>
      </c>
      <c r="N414">
        <f>57242.64+354.78</f>
        <v>57597.42</v>
      </c>
    </row>
    <row r="415" spans="1:14" x14ac:dyDescent="0.35">
      <c r="A415" t="s">
        <v>588</v>
      </c>
      <c r="G415">
        <v>75</v>
      </c>
      <c r="H415">
        <v>760000</v>
      </c>
      <c r="K415">
        <v>400000</v>
      </c>
    </row>
    <row r="416" spans="1:14" hidden="1" x14ac:dyDescent="0.35">
      <c r="A416" t="s">
        <v>589</v>
      </c>
      <c r="B416">
        <v>500763</v>
      </c>
      <c r="D416">
        <v>104685.84</v>
      </c>
      <c r="E416">
        <v>147</v>
      </c>
      <c r="F416">
        <v>400000</v>
      </c>
      <c r="G416" t="s">
        <v>590</v>
      </c>
      <c r="H416" t="s">
        <v>591</v>
      </c>
      <c r="K416">
        <f>103450+98210</f>
        <v>201660</v>
      </c>
      <c r="M416">
        <v>2</v>
      </c>
    </row>
    <row r="417" spans="1:14" hidden="1" x14ac:dyDescent="0.35">
      <c r="A417" t="s">
        <v>592</v>
      </c>
      <c r="B417">
        <v>1729</v>
      </c>
      <c r="D417">
        <v>598.32000000000005</v>
      </c>
      <c r="M417">
        <v>1</v>
      </c>
      <c r="N417">
        <f>27957.92+27000+18750</f>
        <v>73707.92</v>
      </c>
    </row>
    <row r="418" spans="1:14" hidden="1" x14ac:dyDescent="0.35">
      <c r="A418" t="s">
        <v>593</v>
      </c>
      <c r="B418">
        <v>80000</v>
      </c>
      <c r="C418">
        <v>32153.1</v>
      </c>
      <c r="D418">
        <v>47000</v>
      </c>
      <c r="E418">
        <v>217</v>
      </c>
      <c r="F418">
        <v>250000</v>
      </c>
      <c r="K418">
        <f>20000+34000</f>
        <v>54000</v>
      </c>
      <c r="M418">
        <v>2</v>
      </c>
    </row>
    <row r="419" spans="1:14" hidden="1" x14ac:dyDescent="0.35">
      <c r="A419" t="s">
        <v>594</v>
      </c>
      <c r="B419">
        <v>48000</v>
      </c>
      <c r="C419">
        <v>459.35</v>
      </c>
      <c r="E419">
        <v>337</v>
      </c>
      <c r="I419">
        <f>1.7719+0.115</f>
        <v>1.8869</v>
      </c>
      <c r="J419">
        <v>33500</v>
      </c>
      <c r="K419">
        <v>800000</v>
      </c>
      <c r="M419">
        <v>2</v>
      </c>
      <c r="N419">
        <f>205663.16+17850+134740.73</f>
        <v>358253.89</v>
      </c>
    </row>
    <row r="420" spans="1:14" hidden="1" x14ac:dyDescent="0.35">
      <c r="A420" t="s">
        <v>595</v>
      </c>
      <c r="B420">
        <v>144975.20000000001</v>
      </c>
      <c r="D420">
        <f>1112464.31+308649.13+100167.3+247303.51+456115.07+210238.63</f>
        <v>2434937.9499999997</v>
      </c>
      <c r="E420">
        <v>166</v>
      </c>
      <c r="M420">
        <v>1</v>
      </c>
    </row>
    <row r="421" spans="1:14" hidden="1" x14ac:dyDescent="0.35">
      <c r="A421" t="s">
        <v>596</v>
      </c>
      <c r="B421">
        <f>19096.52+0.74+1708.55+232.9</f>
        <v>21038.710000000003</v>
      </c>
      <c r="G421" t="s">
        <v>597</v>
      </c>
      <c r="H421" t="s">
        <v>598</v>
      </c>
      <c r="K421">
        <f>40000+60000</f>
        <v>100000</v>
      </c>
      <c r="M421">
        <v>2</v>
      </c>
      <c r="N421">
        <f>406348.56+13840+465135.72+25500</f>
        <v>910824.28</v>
      </c>
    </row>
    <row r="422" spans="1:14" hidden="1" x14ac:dyDescent="0.35">
      <c r="A422" t="s">
        <v>599</v>
      </c>
      <c r="B422">
        <v>80000</v>
      </c>
      <c r="E422">
        <v>165</v>
      </c>
      <c r="F422">
        <v>180000</v>
      </c>
      <c r="K422">
        <v>61900</v>
      </c>
      <c r="M422">
        <v>1</v>
      </c>
      <c r="N422">
        <v>14000</v>
      </c>
    </row>
    <row r="423" spans="1:14" hidden="1" x14ac:dyDescent="0.35">
      <c r="A423" t="s">
        <v>600</v>
      </c>
      <c r="B423">
        <v>105350</v>
      </c>
      <c r="D423">
        <v>34704.699999999997</v>
      </c>
      <c r="G423">
        <v>50.7</v>
      </c>
      <c r="H423">
        <v>165000</v>
      </c>
      <c r="M423">
        <v>1</v>
      </c>
    </row>
    <row r="424" spans="1:14" hidden="1" x14ac:dyDescent="0.35">
      <c r="A424" t="s">
        <v>601</v>
      </c>
      <c r="B424">
        <v>116400</v>
      </c>
      <c r="E424">
        <v>144</v>
      </c>
      <c r="F424">
        <v>300000</v>
      </c>
      <c r="K424">
        <v>100000</v>
      </c>
      <c r="M424">
        <v>2</v>
      </c>
    </row>
    <row r="425" spans="1:14" x14ac:dyDescent="0.35">
      <c r="A425" s="2" t="s">
        <v>602</v>
      </c>
    </row>
    <row r="426" spans="1:14" hidden="1" x14ac:dyDescent="0.35">
      <c r="A426" t="s">
        <v>603</v>
      </c>
      <c r="B426">
        <v>514978.17</v>
      </c>
      <c r="G426">
        <v>65.099999999999994</v>
      </c>
      <c r="H426">
        <v>485000</v>
      </c>
      <c r="K426">
        <v>850000</v>
      </c>
      <c r="M426">
        <v>1</v>
      </c>
    </row>
    <row r="427" spans="1:14" hidden="1" x14ac:dyDescent="0.35">
      <c r="A427" t="s">
        <v>604</v>
      </c>
      <c r="B427">
        <v>108000</v>
      </c>
      <c r="G427">
        <v>49</v>
      </c>
      <c r="M427">
        <v>1</v>
      </c>
      <c r="N427">
        <f>316800+60000</f>
        <v>376800</v>
      </c>
    </row>
    <row r="428" spans="1:14" hidden="1" x14ac:dyDescent="0.35">
      <c r="A428" t="s">
        <v>605</v>
      </c>
      <c r="B428">
        <v>25000</v>
      </c>
      <c r="E428" t="s">
        <v>606</v>
      </c>
      <c r="F428" t="s">
        <v>607</v>
      </c>
      <c r="I428">
        <v>0.7</v>
      </c>
      <c r="J428">
        <v>150000</v>
      </c>
      <c r="K428">
        <f>95000+300000</f>
        <v>395000</v>
      </c>
      <c r="M428">
        <v>2</v>
      </c>
      <c r="N428">
        <f>760000+50000+30000</f>
        <v>840000</v>
      </c>
    </row>
    <row r="429" spans="1:14" hidden="1" x14ac:dyDescent="0.35">
      <c r="A429" t="s">
        <v>608</v>
      </c>
      <c r="B429">
        <v>105000</v>
      </c>
      <c r="E429">
        <v>250</v>
      </c>
      <c r="F429">
        <v>800000</v>
      </c>
      <c r="I429">
        <v>3.08</v>
      </c>
      <c r="J429">
        <v>20000</v>
      </c>
      <c r="K429">
        <f>50000+550000+460000+1200000+1500000</f>
        <v>3760000</v>
      </c>
      <c r="M429">
        <v>1</v>
      </c>
      <c r="N429">
        <f>216704.08+151629.46</f>
        <v>368333.54</v>
      </c>
    </row>
    <row r="430" spans="1:14" hidden="1" x14ac:dyDescent="0.35">
      <c r="A430" t="s">
        <v>609</v>
      </c>
      <c r="B430">
        <v>340000</v>
      </c>
      <c r="G430">
        <v>49</v>
      </c>
      <c r="H430">
        <v>114500</v>
      </c>
      <c r="K430">
        <v>35000</v>
      </c>
      <c r="M430">
        <v>2</v>
      </c>
    </row>
    <row r="431" spans="1:14" hidden="1" x14ac:dyDescent="0.35">
      <c r="A431" t="s">
        <v>610</v>
      </c>
      <c r="B431">
        <v>145746.41</v>
      </c>
      <c r="D431">
        <v>20000</v>
      </c>
      <c r="G431">
        <v>49.04</v>
      </c>
      <c r="H431">
        <v>97987</v>
      </c>
      <c r="M431">
        <v>3</v>
      </c>
      <c r="N431">
        <v>12000</v>
      </c>
    </row>
    <row r="432" spans="1:14" hidden="1" x14ac:dyDescent="0.35">
      <c r="A432" t="s">
        <v>611</v>
      </c>
      <c r="B432">
        <f>68167.19+10409.83</f>
        <v>78577.02</v>
      </c>
      <c r="C432">
        <v>3228.84</v>
      </c>
      <c r="D432">
        <f>23218.37</f>
        <v>23218.37</v>
      </c>
      <c r="G432">
        <v>95.68</v>
      </c>
      <c r="H432">
        <v>601555</v>
      </c>
      <c r="K432">
        <f>180000+153750</f>
        <v>333750</v>
      </c>
      <c r="M432">
        <v>1</v>
      </c>
    </row>
    <row r="433" spans="1:14" hidden="1" x14ac:dyDescent="0.35">
      <c r="A433" t="s">
        <v>612</v>
      </c>
      <c r="B433">
        <v>15000</v>
      </c>
      <c r="C433">
        <v>108428.36</v>
      </c>
      <c r="D433">
        <v>125000</v>
      </c>
      <c r="E433">
        <v>240</v>
      </c>
      <c r="F433">
        <v>1200000</v>
      </c>
      <c r="I433">
        <v>0.71</v>
      </c>
      <c r="J433">
        <v>250000</v>
      </c>
      <c r="K433">
        <v>500000</v>
      </c>
      <c r="M433">
        <v>2</v>
      </c>
      <c r="N433">
        <f>225000+323844</f>
        <v>548844</v>
      </c>
    </row>
    <row r="434" spans="1:14" hidden="1" x14ac:dyDescent="0.35">
      <c r="A434" t="s">
        <v>613</v>
      </c>
      <c r="B434">
        <v>30000</v>
      </c>
      <c r="E434">
        <v>308</v>
      </c>
      <c r="F434">
        <v>850000</v>
      </c>
      <c r="K434">
        <v>200000</v>
      </c>
      <c r="M434">
        <v>1</v>
      </c>
    </row>
    <row r="435" spans="1:14" hidden="1" x14ac:dyDescent="0.35">
      <c r="A435" t="s">
        <v>614</v>
      </c>
      <c r="B435">
        <v>63930</v>
      </c>
      <c r="C435">
        <v>13857.6</v>
      </c>
      <c r="D435">
        <v>79800</v>
      </c>
      <c r="E435">
        <v>267.7</v>
      </c>
      <c r="F435">
        <v>700000</v>
      </c>
      <c r="K435">
        <v>170000</v>
      </c>
      <c r="M435">
        <v>2</v>
      </c>
      <c r="N435">
        <v>171258.27</v>
      </c>
    </row>
    <row r="436" spans="1:14" x14ac:dyDescent="0.35">
      <c r="A436" s="2" t="s">
        <v>615</v>
      </c>
    </row>
    <row r="437" spans="1:14" x14ac:dyDescent="0.35">
      <c r="A437" t="s">
        <v>616</v>
      </c>
      <c r="B437">
        <v>22000</v>
      </c>
    </row>
    <row r="438" spans="1:14" hidden="1" x14ac:dyDescent="0.35">
      <c r="A438" t="s">
        <v>617</v>
      </c>
      <c r="B438">
        <v>119500</v>
      </c>
      <c r="C438">
        <v>15243.36</v>
      </c>
      <c r="E438">
        <v>168.15</v>
      </c>
      <c r="F438">
        <v>800000</v>
      </c>
      <c r="M438">
        <v>1</v>
      </c>
      <c r="N438">
        <f>232307.28+82325.76</f>
        <v>314633.03999999998</v>
      </c>
    </row>
    <row r="439" spans="1:14" hidden="1" x14ac:dyDescent="0.35">
      <c r="A439" t="s">
        <v>618</v>
      </c>
      <c r="B439">
        <v>30000</v>
      </c>
      <c r="G439">
        <v>63</v>
      </c>
      <c r="H439">
        <v>230000</v>
      </c>
      <c r="M439">
        <v>1</v>
      </c>
      <c r="N439">
        <f>11400+15700+30000</f>
        <v>57100</v>
      </c>
    </row>
    <row r="440" spans="1:14" hidden="1" x14ac:dyDescent="0.35">
      <c r="A440" t="s">
        <v>619</v>
      </c>
      <c r="B440">
        <v>36494.32</v>
      </c>
      <c r="C440">
        <f>12080.4+1358.27</f>
        <v>13438.67</v>
      </c>
      <c r="M440">
        <v>2</v>
      </c>
    </row>
    <row r="441" spans="1:14" hidden="1" x14ac:dyDescent="0.35">
      <c r="A441" t="s">
        <v>620</v>
      </c>
      <c r="B441">
        <v>16000</v>
      </c>
      <c r="E441">
        <v>100</v>
      </c>
      <c r="F441">
        <v>90000</v>
      </c>
      <c r="I441">
        <v>17.190000000000001</v>
      </c>
      <c r="J441">
        <v>240000</v>
      </c>
      <c r="M441">
        <v>3</v>
      </c>
      <c r="N441">
        <v>16050</v>
      </c>
    </row>
    <row r="442" spans="1:14" hidden="1" x14ac:dyDescent="0.35">
      <c r="A442" t="s">
        <v>621</v>
      </c>
      <c r="B442">
        <v>816.64</v>
      </c>
      <c r="G442">
        <v>51.77</v>
      </c>
      <c r="M442">
        <v>1</v>
      </c>
      <c r="N442">
        <f>37628.3</f>
        <v>37628.300000000003</v>
      </c>
    </row>
    <row r="443" spans="1:14" x14ac:dyDescent="0.35">
      <c r="A443" t="s">
        <v>622</v>
      </c>
      <c r="B443">
        <v>730000</v>
      </c>
      <c r="C443">
        <v>4615.12</v>
      </c>
      <c r="G443" t="s">
        <v>623</v>
      </c>
      <c r="H443" t="s">
        <v>624</v>
      </c>
      <c r="L443">
        <f>474180+500000</f>
        <v>974180</v>
      </c>
      <c r="N443">
        <f>221120.29+73801.84</f>
        <v>294922.13</v>
      </c>
    </row>
    <row r="444" spans="1:14" hidden="1" x14ac:dyDescent="0.35">
      <c r="A444" t="s">
        <v>625</v>
      </c>
      <c r="B444">
        <v>330000</v>
      </c>
      <c r="G444">
        <v>73.3</v>
      </c>
      <c r="H444">
        <v>250000</v>
      </c>
      <c r="K444">
        <f>500000</f>
        <v>500000</v>
      </c>
      <c r="M444">
        <v>1</v>
      </c>
      <c r="N444">
        <f>56048.81+16244.85+85000</f>
        <v>157293.66</v>
      </c>
    </row>
    <row r="445" spans="1:14" x14ac:dyDescent="0.35">
      <c r="A445" t="s">
        <v>626</v>
      </c>
      <c r="B445">
        <v>77000</v>
      </c>
      <c r="K445">
        <v>520000</v>
      </c>
      <c r="N445">
        <f>242136.87+20000</f>
        <v>262136.87</v>
      </c>
    </row>
    <row r="446" spans="1:14" hidden="1" x14ac:dyDescent="0.35">
      <c r="A446" t="s">
        <v>627</v>
      </c>
      <c r="B446">
        <v>87000</v>
      </c>
      <c r="C446">
        <f>5229.58+1663.07</f>
        <v>6892.65</v>
      </c>
      <c r="E446">
        <v>260</v>
      </c>
      <c r="F446">
        <v>490000</v>
      </c>
      <c r="I446">
        <v>4.7026000000000003</v>
      </c>
      <c r="J446">
        <v>51000</v>
      </c>
      <c r="K446">
        <f>133000</f>
        <v>133000</v>
      </c>
      <c r="L446">
        <v>150</v>
      </c>
      <c r="M446">
        <v>2</v>
      </c>
      <c r="N446">
        <f>20000+44000</f>
        <v>64000</v>
      </c>
    </row>
    <row r="447" spans="1:14" hidden="1" x14ac:dyDescent="0.35">
      <c r="A447" t="s">
        <v>628</v>
      </c>
      <c r="B447">
        <v>26500</v>
      </c>
      <c r="C447">
        <v>9348.4599999999991</v>
      </c>
      <c r="G447">
        <v>58.5</v>
      </c>
      <c r="H447">
        <v>100000</v>
      </c>
      <c r="K447">
        <f>50000+5000+10000</f>
        <v>65000</v>
      </c>
      <c r="M447">
        <v>1</v>
      </c>
    </row>
    <row r="448" spans="1:14" hidden="1" x14ac:dyDescent="0.35">
      <c r="A448" t="s">
        <v>629</v>
      </c>
      <c r="B448">
        <v>233250</v>
      </c>
      <c r="D448">
        <v>15960.6</v>
      </c>
      <c r="E448" t="s">
        <v>630</v>
      </c>
      <c r="F448" t="s">
        <v>631</v>
      </c>
      <c r="G448" t="s">
        <v>632</v>
      </c>
      <c r="H448" t="s">
        <v>633</v>
      </c>
      <c r="M448">
        <v>2</v>
      </c>
    </row>
    <row r="449" spans="1:14" hidden="1" x14ac:dyDescent="0.35">
      <c r="A449" t="s">
        <v>634</v>
      </c>
      <c r="B449">
        <v>420000</v>
      </c>
      <c r="C449">
        <v>218.84</v>
      </c>
      <c r="D449">
        <v>13500</v>
      </c>
      <c r="E449">
        <v>213.1</v>
      </c>
      <c r="F449">
        <v>390000</v>
      </c>
      <c r="G449">
        <v>47.79</v>
      </c>
      <c r="H449">
        <v>220000</v>
      </c>
      <c r="K449">
        <f>416920+20000+509000</f>
        <v>945920</v>
      </c>
      <c r="M449">
        <v>1</v>
      </c>
    </row>
    <row r="450" spans="1:14" x14ac:dyDescent="0.35">
      <c r="A450" t="s">
        <v>635</v>
      </c>
      <c r="N450">
        <v>19000</v>
      </c>
    </row>
    <row r="451" spans="1:14" hidden="1" x14ac:dyDescent="0.35">
      <c r="A451" t="s">
        <v>636</v>
      </c>
      <c r="B451">
        <v>85000</v>
      </c>
      <c r="D451">
        <v>26000</v>
      </c>
      <c r="E451">
        <v>140</v>
      </c>
      <c r="F451">
        <v>900000</v>
      </c>
      <c r="G451">
        <v>33.4</v>
      </c>
      <c r="H451">
        <v>230000</v>
      </c>
      <c r="K451">
        <f>60000+20000+30000</f>
        <v>110000</v>
      </c>
      <c r="M451">
        <v>1</v>
      </c>
      <c r="N451">
        <f>118000+432538.46</f>
        <v>550538.46</v>
      </c>
    </row>
    <row r="452" spans="1:14" hidden="1" x14ac:dyDescent="0.35">
      <c r="A452" t="s">
        <v>637</v>
      </c>
      <c r="B452">
        <v>50000</v>
      </c>
      <c r="C452">
        <v>453537</v>
      </c>
      <c r="E452">
        <v>240</v>
      </c>
      <c r="F452">
        <v>1030000</v>
      </c>
      <c r="G452">
        <v>81</v>
      </c>
      <c r="H452">
        <v>820000</v>
      </c>
      <c r="M452">
        <v>1</v>
      </c>
      <c r="N452">
        <v>249908.14</v>
      </c>
    </row>
    <row r="453" spans="1:14" x14ac:dyDescent="0.35">
      <c r="A453" t="s">
        <v>638</v>
      </c>
      <c r="B453">
        <v>85000</v>
      </c>
      <c r="G453">
        <v>95</v>
      </c>
      <c r="H453">
        <v>1050000</v>
      </c>
    </row>
    <row r="454" spans="1:14" x14ac:dyDescent="0.35">
      <c r="A454" t="s">
        <v>639</v>
      </c>
      <c r="B454">
        <v>6958.96</v>
      </c>
    </row>
    <row r="455" spans="1:14" hidden="1" x14ac:dyDescent="0.35">
      <c r="A455" t="s">
        <v>640</v>
      </c>
      <c r="E455">
        <v>130</v>
      </c>
      <c r="F455">
        <v>350000</v>
      </c>
      <c r="K455">
        <f>50000+45000+50000</f>
        <v>145000</v>
      </c>
      <c r="M455">
        <v>2</v>
      </c>
      <c r="N455">
        <v>20052.939999999999</v>
      </c>
    </row>
    <row r="456" spans="1:14" hidden="1" x14ac:dyDescent="0.35">
      <c r="A456" t="s">
        <v>641</v>
      </c>
      <c r="B456">
        <v>500</v>
      </c>
      <c r="K456">
        <f>450000/6</f>
        <v>75000</v>
      </c>
      <c r="M456">
        <v>1</v>
      </c>
      <c r="N456">
        <f>26567.48+37194.47+10000</f>
        <v>73761.95</v>
      </c>
    </row>
    <row r="457" spans="1:14" hidden="1" x14ac:dyDescent="0.35">
      <c r="A457" t="s">
        <v>642</v>
      </c>
      <c r="B457">
        <v>127000</v>
      </c>
      <c r="G457" t="s">
        <v>643</v>
      </c>
      <c r="H457" t="s">
        <v>644</v>
      </c>
      <c r="M457">
        <v>1</v>
      </c>
      <c r="N457">
        <f>22440</f>
        <v>22440</v>
      </c>
    </row>
    <row r="458" spans="1:14" hidden="1" x14ac:dyDescent="0.35">
      <c r="A458" t="s">
        <v>645</v>
      </c>
      <c r="B458">
        <v>210652.47</v>
      </c>
      <c r="C458">
        <f>8147.25+3900.83</f>
        <v>12048.08</v>
      </c>
      <c r="E458">
        <v>210</v>
      </c>
      <c r="F458">
        <v>415800</v>
      </c>
      <c r="I458">
        <v>15.731999999999999</v>
      </c>
      <c r="J458">
        <v>650000</v>
      </c>
      <c r="K458">
        <v>50000</v>
      </c>
      <c r="M458">
        <v>1</v>
      </c>
    </row>
    <row r="459" spans="1:14" hidden="1" x14ac:dyDescent="0.35">
      <c r="A459" t="s">
        <v>646</v>
      </c>
      <c r="B459">
        <v>130000</v>
      </c>
      <c r="C459">
        <f>462.91+1094.73+449.56</f>
        <v>2007.2</v>
      </c>
      <c r="G459">
        <v>96</v>
      </c>
      <c r="H459">
        <v>1250000</v>
      </c>
      <c r="M459">
        <v>1</v>
      </c>
      <c r="N459">
        <f>550000</f>
        <v>550000</v>
      </c>
    </row>
    <row r="460" spans="1:14" x14ac:dyDescent="0.35">
      <c r="A460" t="s">
        <v>647</v>
      </c>
      <c r="B460">
        <f>136754.91</f>
        <v>136754.91</v>
      </c>
      <c r="C460">
        <f>33942.06</f>
        <v>33942.06</v>
      </c>
      <c r="D460">
        <f>440398.95+47939.48+33942.06</f>
        <v>522280.49</v>
      </c>
      <c r="E460">
        <v>46</v>
      </c>
      <c r="F460">
        <v>103400</v>
      </c>
      <c r="G460">
        <v>47</v>
      </c>
      <c r="H460">
        <v>540000</v>
      </c>
      <c r="I460">
        <v>0.25940000000000002</v>
      </c>
      <c r="J460">
        <v>53000</v>
      </c>
      <c r="K460">
        <f>53000</f>
        <v>53000</v>
      </c>
    </row>
    <row r="461" spans="1:14" hidden="1" x14ac:dyDescent="0.35">
      <c r="A461" t="s">
        <v>648</v>
      </c>
      <c r="B461">
        <f>124000</f>
        <v>124000</v>
      </c>
      <c r="E461">
        <v>250</v>
      </c>
      <c r="F461">
        <v>300000</v>
      </c>
      <c r="G461">
        <v>41.7</v>
      </c>
      <c r="H461">
        <v>160000</v>
      </c>
      <c r="I461">
        <v>5.01</v>
      </c>
      <c r="J461">
        <v>120000</v>
      </c>
      <c r="M461">
        <v>2</v>
      </c>
    </row>
    <row r="462" spans="1:14" hidden="1" x14ac:dyDescent="0.35">
      <c r="A462" t="s">
        <v>649</v>
      </c>
      <c r="B462">
        <v>161000</v>
      </c>
      <c r="K462">
        <f>21000+9000</f>
        <v>30000</v>
      </c>
      <c r="M462">
        <v>1</v>
      </c>
      <c r="N462">
        <v>74845.149999999994</v>
      </c>
    </row>
    <row r="463" spans="1:14" hidden="1" x14ac:dyDescent="0.35">
      <c r="A463" t="s">
        <v>650</v>
      </c>
      <c r="B463">
        <v>18500</v>
      </c>
      <c r="C463">
        <f>385085.99+1391.14</f>
        <v>386477.13</v>
      </c>
      <c r="D463">
        <f>146.21+33175.25</f>
        <v>33321.46</v>
      </c>
      <c r="E463">
        <v>165.8</v>
      </c>
      <c r="F463">
        <v>1480000</v>
      </c>
      <c r="K463">
        <f>83001/3+15000</f>
        <v>42667</v>
      </c>
      <c r="M463">
        <v>1</v>
      </c>
      <c r="N463">
        <f>38780.19+30600</f>
        <v>69380.19</v>
      </c>
    </row>
    <row r="464" spans="1:14" hidden="1" x14ac:dyDescent="0.35">
      <c r="A464" t="s">
        <v>651</v>
      </c>
      <c r="B464">
        <f>17765.85+466846.64</f>
        <v>484612.49</v>
      </c>
      <c r="C464">
        <v>100.08</v>
      </c>
      <c r="D464">
        <f>175183.21+37360.61+74633.71</f>
        <v>287177.53000000003</v>
      </c>
      <c r="G464">
        <v>52.9</v>
      </c>
      <c r="H464">
        <v>470000</v>
      </c>
      <c r="K464">
        <f>400000</f>
        <v>400000</v>
      </c>
      <c r="L464">
        <f>1161+2277</f>
        <v>3438</v>
      </c>
      <c r="M464">
        <v>3</v>
      </c>
      <c r="N464">
        <f>314998.79</f>
        <v>314998.78999999998</v>
      </c>
    </row>
    <row r="465" spans="1:14" x14ac:dyDescent="0.35">
      <c r="A465" t="s">
        <v>652</v>
      </c>
      <c r="B465">
        <v>75741.210000000006</v>
      </c>
      <c r="E465">
        <v>133.15</v>
      </c>
      <c r="F465">
        <v>646000</v>
      </c>
      <c r="G465">
        <v>125</v>
      </c>
      <c r="H465">
        <v>540000</v>
      </c>
      <c r="I465">
        <v>0.73</v>
      </c>
      <c r="J465">
        <v>135000</v>
      </c>
      <c r="K465">
        <f>125000+50000+150000</f>
        <v>325000</v>
      </c>
      <c r="N465">
        <f>199251.35+12053</f>
        <v>211304.35</v>
      </c>
    </row>
    <row r="466" spans="1:14" hidden="1" x14ac:dyDescent="0.35">
      <c r="A466" t="s">
        <v>653</v>
      </c>
      <c r="B466">
        <v>59000</v>
      </c>
      <c r="G466">
        <v>64</v>
      </c>
      <c r="H466">
        <v>240000</v>
      </c>
      <c r="M466">
        <v>1</v>
      </c>
      <c r="N466">
        <f>305700.84</f>
        <v>305700.84000000003</v>
      </c>
    </row>
    <row r="467" spans="1:14" hidden="1" x14ac:dyDescent="0.35">
      <c r="A467" t="s">
        <v>654</v>
      </c>
      <c r="B467">
        <v>110000</v>
      </c>
      <c r="C467">
        <v>620302.07999999996</v>
      </c>
      <c r="K467">
        <f>800000+80000</f>
        <v>880000</v>
      </c>
      <c r="M467">
        <v>1</v>
      </c>
    </row>
    <row r="468" spans="1:14" hidden="1" x14ac:dyDescent="0.35">
      <c r="A468" t="s">
        <v>655</v>
      </c>
      <c r="E468">
        <v>187</v>
      </c>
      <c r="F468">
        <v>500000</v>
      </c>
      <c r="K468">
        <v>150000</v>
      </c>
      <c r="M468">
        <v>1</v>
      </c>
      <c r="N468">
        <f>20100+421750+20443.64</f>
        <v>462293.64</v>
      </c>
    </row>
    <row r="469" spans="1:14" hidden="1" x14ac:dyDescent="0.35">
      <c r="A469" t="s">
        <v>656</v>
      </c>
      <c r="B469">
        <v>410000</v>
      </c>
      <c r="C469">
        <f>7638.05+6574.43</f>
        <v>14212.48</v>
      </c>
      <c r="K469">
        <v>100000</v>
      </c>
      <c r="L469">
        <v>52420.93</v>
      </c>
      <c r="M469">
        <v>1</v>
      </c>
    </row>
    <row r="470" spans="1:14" hidden="1" x14ac:dyDescent="0.35">
      <c r="A470" t="s">
        <v>657</v>
      </c>
      <c r="B470">
        <v>56286.97</v>
      </c>
      <c r="E470">
        <v>150</v>
      </c>
      <c r="F470">
        <v>900000</v>
      </c>
      <c r="G470">
        <v>47</v>
      </c>
      <c r="H470">
        <v>500000</v>
      </c>
      <c r="I470">
        <v>5.53</v>
      </c>
      <c r="J470">
        <v>55000</v>
      </c>
      <c r="K470">
        <f>12000+9000+410000</f>
        <v>431000</v>
      </c>
      <c r="M470">
        <v>3</v>
      </c>
    </row>
    <row r="471" spans="1:14" hidden="1" x14ac:dyDescent="0.35">
      <c r="A471" t="s">
        <v>658</v>
      </c>
      <c r="B471">
        <v>14200000</v>
      </c>
      <c r="C471">
        <v>925.82</v>
      </c>
      <c r="E471">
        <v>220</v>
      </c>
      <c r="F471">
        <v>480000</v>
      </c>
      <c r="K471">
        <v>20000</v>
      </c>
      <c r="L471">
        <v>4342</v>
      </c>
      <c r="M471">
        <v>2</v>
      </c>
    </row>
    <row r="472" spans="1:14" hidden="1" x14ac:dyDescent="0.35">
      <c r="A472" t="s">
        <v>659</v>
      </c>
      <c r="B472">
        <f>4081.35+7287.2</f>
        <v>11368.55</v>
      </c>
      <c r="D472">
        <f>221929.41+22097.01</f>
        <v>244026.42</v>
      </c>
      <c r="L472">
        <v>1056210</v>
      </c>
      <c r="M472">
        <v>1</v>
      </c>
      <c r="N472">
        <f>110201.3+19000+15000+114518.48</f>
        <v>258719.77999999997</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0B689-6A3C-4FCF-BBBD-5FC67609A50E}">
  <dimension ref="A1:E14"/>
  <sheetViews>
    <sheetView workbookViewId="0">
      <selection activeCell="E2" sqref="E2"/>
    </sheetView>
  </sheetViews>
  <sheetFormatPr defaultRowHeight="14.5" x14ac:dyDescent="0.35"/>
  <cols>
    <col min="1" max="1" width="19.81640625" bestFit="1" customWidth="1"/>
    <col min="3" max="3" width="59.453125" style="3" customWidth="1"/>
    <col min="4" max="4" width="4.81640625" customWidth="1"/>
    <col min="5" max="5" width="112.1796875" customWidth="1"/>
  </cols>
  <sheetData>
    <row r="1" spans="1:5" x14ac:dyDescent="0.35">
      <c r="A1" s="5" t="s">
        <v>660</v>
      </c>
      <c r="B1" s="6" t="s">
        <v>661</v>
      </c>
      <c r="C1" s="7" t="s">
        <v>662</v>
      </c>
      <c r="E1" t="s">
        <v>663</v>
      </c>
    </row>
    <row r="2" spans="1:5" ht="29" x14ac:dyDescent="0.35">
      <c r="A2" s="9" t="s">
        <v>1</v>
      </c>
      <c r="B2" s="8" t="s">
        <v>664</v>
      </c>
      <c r="C2" s="10" t="s">
        <v>665</v>
      </c>
    </row>
    <row r="3" spans="1:5" ht="58" x14ac:dyDescent="0.35">
      <c r="A3" s="11" t="s">
        <v>2</v>
      </c>
      <c r="B3" s="4" t="s">
        <v>664</v>
      </c>
      <c r="C3" s="12" t="s">
        <v>666</v>
      </c>
      <c r="E3" s="3" t="s">
        <v>667</v>
      </c>
    </row>
    <row r="4" spans="1:5" ht="29" x14ac:dyDescent="0.35">
      <c r="A4" s="11" t="s">
        <v>3</v>
      </c>
      <c r="B4" s="4" t="s">
        <v>664</v>
      </c>
      <c r="C4" s="12" t="s">
        <v>668</v>
      </c>
    </row>
    <row r="5" spans="1:5" x14ac:dyDescent="0.35">
      <c r="A5" s="11" t="s">
        <v>4</v>
      </c>
      <c r="B5" s="4" t="s">
        <v>669</v>
      </c>
      <c r="C5" s="12" t="s">
        <v>670</v>
      </c>
    </row>
    <row r="6" spans="1:5" x14ac:dyDescent="0.35">
      <c r="A6" s="11" t="s">
        <v>5</v>
      </c>
      <c r="B6" s="4" t="s">
        <v>664</v>
      </c>
      <c r="C6" s="12" t="s">
        <v>671</v>
      </c>
    </row>
    <row r="7" spans="1:5" x14ac:dyDescent="0.35">
      <c r="A7" s="11" t="s">
        <v>6</v>
      </c>
      <c r="B7" s="4" t="s">
        <v>669</v>
      </c>
      <c r="C7" s="12" t="s">
        <v>672</v>
      </c>
    </row>
    <row r="8" spans="1:5" x14ac:dyDescent="0.35">
      <c r="A8" s="11" t="s">
        <v>7</v>
      </c>
      <c r="B8" s="4" t="s">
        <v>664</v>
      </c>
      <c r="C8" s="12" t="s">
        <v>673</v>
      </c>
    </row>
    <row r="9" spans="1:5" x14ac:dyDescent="0.35">
      <c r="A9" s="11" t="s">
        <v>8</v>
      </c>
      <c r="B9" s="4" t="s">
        <v>674</v>
      </c>
      <c r="C9" s="12" t="s">
        <v>675</v>
      </c>
    </row>
    <row r="10" spans="1:5" x14ac:dyDescent="0.35">
      <c r="A10" s="11" t="s">
        <v>9</v>
      </c>
      <c r="B10" s="4" t="s">
        <v>664</v>
      </c>
      <c r="C10" s="12" t="s">
        <v>676</v>
      </c>
    </row>
    <row r="11" spans="1:5" ht="29" x14ac:dyDescent="0.35">
      <c r="A11" s="11" t="s">
        <v>10</v>
      </c>
      <c r="B11" s="4" t="s">
        <v>664</v>
      </c>
      <c r="C11" s="12" t="s">
        <v>677</v>
      </c>
    </row>
    <row r="12" spans="1:5" ht="43.5" x14ac:dyDescent="0.35">
      <c r="A12" s="11" t="s">
        <v>11</v>
      </c>
      <c r="B12" s="4" t="s">
        <v>664</v>
      </c>
      <c r="C12" s="12" t="s">
        <v>678</v>
      </c>
    </row>
    <row r="13" spans="1:5" ht="29" x14ac:dyDescent="0.35">
      <c r="A13" s="11" t="s">
        <v>12</v>
      </c>
      <c r="B13" s="4" t="s">
        <v>679</v>
      </c>
      <c r="C13" s="12" t="s">
        <v>680</v>
      </c>
    </row>
    <row r="14" spans="1:5" ht="29" x14ac:dyDescent="0.35">
      <c r="A14" s="13" t="s">
        <v>13</v>
      </c>
      <c r="B14" s="14" t="s">
        <v>664</v>
      </c>
      <c r="C14" s="15" t="s">
        <v>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assets</vt:lpstr>
      <vt:lpstr>META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Bartosz Stachowiak</dc:creator>
  <cp:keywords/>
  <dc:description/>
  <cp:lastModifiedBy>Bartosz Stachowiak</cp:lastModifiedBy>
  <cp:revision/>
  <dcterms:created xsi:type="dcterms:W3CDTF">2015-06-05T18:17:20Z</dcterms:created>
  <dcterms:modified xsi:type="dcterms:W3CDTF">2022-05-24T18:30:45Z</dcterms:modified>
  <cp:category/>
  <cp:contentStatus/>
</cp:coreProperties>
</file>